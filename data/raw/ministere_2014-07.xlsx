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05" windowWidth="15450" windowHeight="8730" tabRatio="634" activeTab="5"/>
  </bookViews>
  <sheets>
    <sheet name="couverture" sheetId="1" r:id="rId1"/>
    <sheet name="sommaire" sheetId="2" r:id="rId2"/>
    <sheet name="Les chiffres du mois" sheetId="4" r:id="rId3"/>
    <sheet name="sommaire suite" sheetId="3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6 DRsexe" sheetId="30" r:id="rId30"/>
    <sheet name="tab27 mineurs" sheetId="31" r:id="rId31"/>
    <sheet name="tab28 mineurs.cat.pén" sheetId="32" r:id="rId32"/>
    <sheet name="tab29mineurs.évol" sheetId="33" r:id="rId33"/>
    <sheet name="tab30 courbe" sheetId="34" r:id="rId34"/>
    <sheet name="tab31 mineurs.étab" sheetId="35" r:id="rId35"/>
    <sheet name="tab32 mineurs.étab2" sheetId="36" r:id="rId36"/>
    <sheet name="tab33femmes" sheetId="37" r:id="rId37"/>
    <sheet name="tab34femcapén" sheetId="38" r:id="rId38"/>
    <sheet name="tab35évolfem" sheetId="39" r:id="rId39"/>
    <sheet name="tab36courbévolfem" sheetId="40" r:id="rId40"/>
    <sheet name="tab37AmPeine" sheetId="41" r:id="rId41"/>
    <sheet name="tab38courbe-AmPeine" sheetId="45" r:id="rId42"/>
    <sheet name="tab39heb-nheb_catpen" sheetId="43" r:id="rId43"/>
    <sheet name="tab40densité.120" sheetId="44" r:id="rId44"/>
  </sheets>
  <definedNames>
    <definedName name="_xlnm._FilterDatabase" localSheetId="43" hidden="1">tab40densité.120!$C$10:$J$269</definedName>
    <definedName name="_xlnm.Print_Titles" localSheetId="43">tab40densité.120!$10:$10</definedName>
    <definedName name="_xlnm.Print_Area" localSheetId="0">couverture!$A$1:$Q$29</definedName>
    <definedName name="_xlnm.Print_Area" localSheetId="2">'Les chiffres du mois'!$A$1:$K$29</definedName>
    <definedName name="_xlnm.Print_Area" localSheetId="1">sommaire!$A$1:$I$29</definedName>
    <definedName name="_xlnm.Print_Area" localSheetId="3">'sommaire suite'!$A$1:$N$15</definedName>
    <definedName name="_xlnm.Print_Area" localSheetId="16">'tab11typed''ets'!$A$1:$F$24</definedName>
    <definedName name="_xlnm.Print_Area" localSheetId="18">tab13répart.cat.pén.!$A$1:$G$27</definedName>
    <definedName name="_xlnm.Print_Area" localSheetId="19">'tab14 Bordeaux'!$A$1:$H$39</definedName>
    <definedName name="_xlnm.Print_Area" localSheetId="20">'tab15 Dijon'!$A$1:$H$36</definedName>
    <definedName name="_xlnm.Print_Area" localSheetId="21">'tab16 Lille'!$A$1:$G$47</definedName>
    <definedName name="_xlnm.Print_Area" localSheetId="22">'tab17 Lyon'!$A$1:$G$40</definedName>
    <definedName name="_xlnm.Print_Area" localSheetId="23">'tab18 marseille'!$A$1:$H$35</definedName>
    <definedName name="_xlnm.Print_Area" localSheetId="24">'tab19 paris'!$A$1:$H$37</definedName>
    <definedName name="_xlnm.Print_Area" localSheetId="25">'tab20 Rennes'!$A$1:$H$42</definedName>
    <definedName name="_xlnm.Print_Area" localSheetId="26">'tab21 Strasbourg'!$A$1:$H$39</definedName>
    <definedName name="_xlnm.Print_Area" localSheetId="27">'tab22 Toulouse'!$A$1:$H$34</definedName>
    <definedName name="_xlnm.Print_Area" localSheetId="28">'tab23 DOM'!$A$1:$G$34</definedName>
    <definedName name="_xlnm.Print_Area" localSheetId="5">tab2évol!$A$1:$F$33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3">'tab30 courbe'!$A$1:$H$41</definedName>
    <definedName name="_xlnm.Print_Area" localSheetId="34">'tab31 mineurs.étab'!$A$1:$G$76</definedName>
    <definedName name="_xlnm.Print_Area" localSheetId="35">'tab32 mineurs.étab2'!$A$1:$H$76</definedName>
    <definedName name="_xlnm.Print_Area" localSheetId="40">tab37AmPeine!$A$1:$J$37</definedName>
    <definedName name="_xlnm.Print_Area" localSheetId="41">'tab38courbe-AmPeine'!$A$1:$K$40</definedName>
    <definedName name="_xlnm.Print_Area" localSheetId="43">tab40densité.120!$A$1:$I$109</definedName>
    <definedName name="_xlnm.Print_Area" localSheetId="9">tab4évolnheb!$A$1:$G$34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G32" i="29" l="1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45" i="22"/>
  <c r="G44" i="22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3" i="3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3" i="35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I105" i="44"/>
  <c r="I103" i="44"/>
  <c r="I101" i="44"/>
  <c r="I99" i="44"/>
  <c r="I97" i="44"/>
  <c r="I95" i="44"/>
  <c r="I93" i="44"/>
  <c r="I91" i="44"/>
  <c r="I89" i="44"/>
  <c r="I87" i="44"/>
  <c r="I85" i="44"/>
  <c r="I83" i="44"/>
  <c r="I81" i="44"/>
  <c r="I79" i="44"/>
  <c r="I77" i="44"/>
  <c r="I75" i="44"/>
  <c r="F30" i="10"/>
  <c r="F20" i="10"/>
  <c r="F18" i="10"/>
  <c r="F16" i="10"/>
  <c r="F14" i="10"/>
  <c r="F12" i="10"/>
  <c r="F10" i="10"/>
  <c r="C15" i="31"/>
  <c r="G9" i="28"/>
  <c r="G9" i="27"/>
  <c r="G9" i="26"/>
  <c r="G9" i="25"/>
  <c r="G9" i="24"/>
  <c r="G9" i="23"/>
  <c r="G9" i="22"/>
  <c r="G9" i="20"/>
  <c r="F20" i="17"/>
  <c r="F18" i="17"/>
  <c r="F17" i="17"/>
  <c r="F16" i="17"/>
  <c r="F15" i="17"/>
  <c r="C21" i="17"/>
  <c r="E20" i="30"/>
  <c r="E18" i="30"/>
  <c r="E17" i="30"/>
  <c r="E16" i="30"/>
  <c r="F16" i="30" s="1"/>
  <c r="E15" i="30"/>
  <c r="E14" i="30"/>
  <c r="E13" i="30"/>
  <c r="E19" i="19"/>
  <c r="E18" i="19"/>
  <c r="F18" i="19" s="1"/>
  <c r="E17" i="19"/>
  <c r="E16" i="19"/>
  <c r="F16" i="19" s="1"/>
  <c r="E15" i="19"/>
  <c r="E14" i="19"/>
  <c r="F14" i="19" s="1"/>
  <c r="E12" i="19"/>
  <c r="F12" i="19" s="1"/>
  <c r="G14" i="18"/>
  <c r="H14" i="18"/>
  <c r="F27" i="15"/>
  <c r="D27" i="15"/>
  <c r="D26" i="14"/>
  <c r="E26" i="14"/>
  <c r="C26" i="14"/>
  <c r="F20" i="14"/>
  <c r="F19" i="14"/>
  <c r="F18" i="14"/>
  <c r="F17" i="14"/>
  <c r="F16" i="14"/>
  <c r="F15" i="14"/>
  <c r="F14" i="14"/>
  <c r="F13" i="14"/>
  <c r="F12" i="14"/>
  <c r="E17" i="4"/>
  <c r="J9" i="4"/>
  <c r="E15" i="4"/>
  <c r="E14" i="4"/>
  <c r="E11" i="4"/>
  <c r="J10" i="4"/>
  <c r="E9" i="4"/>
  <c r="E7" i="4"/>
  <c r="B6" i="17"/>
  <c r="F24" i="14"/>
  <c r="F22" i="10"/>
  <c r="G9" i="35"/>
  <c r="D16" i="12"/>
  <c r="D29" i="4" s="1"/>
  <c r="G9" i="21"/>
  <c r="C18" i="4"/>
  <c r="I11" i="4"/>
  <c r="I104" i="44"/>
  <c r="I102" i="44"/>
  <c r="I100" i="44"/>
  <c r="I98" i="44"/>
  <c r="I96" i="44"/>
  <c r="I94" i="44"/>
  <c r="I92" i="44"/>
  <c r="I90" i="44"/>
  <c r="I88" i="44"/>
  <c r="I86" i="44"/>
  <c r="I84" i="44"/>
  <c r="I82" i="44"/>
  <c r="I80" i="44"/>
  <c r="I78" i="44"/>
  <c r="I76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I11" i="44"/>
  <c r="N45" i="43"/>
  <c r="N44" i="43"/>
  <c r="N43" i="43"/>
  <c r="N42" i="43"/>
  <c r="N41" i="43"/>
  <c r="N40" i="43"/>
  <c r="N39" i="43"/>
  <c r="N38" i="43"/>
  <c r="N37" i="43"/>
  <c r="N36" i="43"/>
  <c r="N35" i="43"/>
  <c r="N34" i="43"/>
  <c r="N33" i="43"/>
  <c r="N32" i="43"/>
  <c r="N31" i="43"/>
  <c r="N30" i="43"/>
  <c r="N29" i="43"/>
  <c r="N28" i="43"/>
  <c r="N27" i="43"/>
  <c r="N26" i="43"/>
  <c r="N25" i="43"/>
  <c r="N24" i="43"/>
  <c r="N23" i="43"/>
  <c r="N22" i="43"/>
  <c r="N21" i="43"/>
  <c r="N20" i="43"/>
  <c r="N19" i="43"/>
  <c r="N18" i="43"/>
  <c r="N17" i="43"/>
  <c r="N16" i="43"/>
  <c r="N15" i="43"/>
  <c r="N14" i="43"/>
  <c r="N13" i="43"/>
  <c r="N12" i="43"/>
  <c r="N11" i="43"/>
  <c r="N10" i="43"/>
  <c r="N9" i="43"/>
  <c r="J35" i="41"/>
  <c r="J34" i="41"/>
  <c r="J33" i="41"/>
  <c r="J32" i="41"/>
  <c r="J31" i="41"/>
  <c r="J30" i="41"/>
  <c r="J29" i="41"/>
  <c r="J28" i="41"/>
  <c r="J27" i="41"/>
  <c r="J26" i="41"/>
  <c r="J25" i="41"/>
  <c r="J24" i="41"/>
  <c r="J23" i="41"/>
  <c r="J22" i="41"/>
  <c r="J21" i="41"/>
  <c r="J20" i="41"/>
  <c r="J19" i="41"/>
  <c r="J18" i="41"/>
  <c r="J17" i="41"/>
  <c r="J16" i="41"/>
  <c r="J15" i="41"/>
  <c r="J14" i="41"/>
  <c r="J13" i="41"/>
  <c r="J12" i="41"/>
  <c r="J11" i="41"/>
  <c r="D18" i="4"/>
  <c r="E18" i="4" s="1"/>
  <c r="F33" i="10"/>
  <c r="F28" i="10"/>
  <c r="F25" i="10"/>
  <c r="F24" i="10"/>
  <c r="F21" i="10"/>
  <c r="F17" i="10"/>
  <c r="F13" i="10"/>
  <c r="F9" i="10"/>
  <c r="D15" i="37"/>
  <c r="C16" i="32"/>
  <c r="D16" i="5"/>
  <c r="I19" i="18"/>
  <c r="I14" i="18"/>
  <c r="E27" i="15"/>
  <c r="C27" i="15"/>
  <c r="F32" i="10"/>
  <c r="F27" i="10"/>
  <c r="F23" i="10"/>
  <c r="F19" i="10"/>
  <c r="F15" i="10"/>
  <c r="F11" i="10"/>
  <c r="C22" i="30"/>
  <c r="C27" i="30" s="1"/>
  <c r="B9" i="16"/>
  <c r="E16" i="32"/>
  <c r="F14" i="32" s="1"/>
  <c r="F29" i="10"/>
  <c r="F26" i="10"/>
  <c r="F31" i="10"/>
  <c r="B9" i="14"/>
  <c r="F22" i="18"/>
  <c r="B6" i="28"/>
  <c r="C22" i="18"/>
  <c r="B6" i="24"/>
  <c r="D22" i="19"/>
  <c r="E20" i="19"/>
  <c r="F20" i="19" s="1"/>
  <c r="E19" i="30"/>
  <c r="E24" i="30"/>
  <c r="F19" i="17"/>
  <c r="G9" i="29"/>
  <c r="I10" i="4"/>
  <c r="F12" i="12"/>
  <c r="E14" i="5"/>
  <c r="G19" i="18"/>
  <c r="G22" i="18" s="1"/>
  <c r="F13" i="30"/>
  <c r="E11" i="31"/>
  <c r="D15" i="31"/>
  <c r="G13" i="32"/>
  <c r="E16" i="38"/>
  <c r="F14" i="38" s="1"/>
  <c r="B4" i="25"/>
  <c r="B4" i="24"/>
  <c r="B6" i="21"/>
  <c r="B6" i="16"/>
  <c r="B5" i="34"/>
  <c r="I9" i="4"/>
  <c r="F14" i="12"/>
  <c r="F13" i="32"/>
  <c r="F26" i="14"/>
  <c r="F13" i="38"/>
  <c r="F16" i="38" s="1"/>
  <c r="E10" i="4"/>
  <c r="K10" i="4" l="1"/>
  <c r="J14" i="18"/>
  <c r="E16" i="4"/>
  <c r="D14" i="18"/>
  <c r="K1" i="4"/>
  <c r="B6" i="18"/>
  <c r="B8" i="16"/>
  <c r="B6" i="30"/>
  <c r="F22" i="14"/>
  <c r="F17" i="19"/>
  <c r="I7" i="4"/>
  <c r="I13" i="4" s="1"/>
  <c r="I22" i="18"/>
  <c r="C16" i="12"/>
  <c r="E16" i="12"/>
  <c r="F16" i="12" s="1"/>
  <c r="E15" i="31"/>
  <c r="E12" i="31"/>
  <c r="E11" i="37"/>
  <c r="E12" i="37"/>
  <c r="G14" i="38"/>
  <c r="G9" i="36"/>
  <c r="F11" i="41"/>
  <c r="F12" i="41"/>
  <c r="F13" i="41"/>
  <c r="F14" i="41"/>
  <c r="F15" i="41"/>
  <c r="F16" i="41"/>
  <c r="F17" i="41"/>
  <c r="F18" i="41"/>
  <c r="F19" i="41"/>
  <c r="F20" i="41"/>
  <c r="F21" i="41"/>
  <c r="F22" i="41"/>
  <c r="F23" i="41"/>
  <c r="F24" i="41"/>
  <c r="F25" i="41"/>
  <c r="F26" i="41"/>
  <c r="F27" i="41"/>
  <c r="F28" i="41"/>
  <c r="F29" i="41"/>
  <c r="F30" i="41"/>
  <c r="F31" i="41"/>
  <c r="F32" i="41"/>
  <c r="F33" i="41"/>
  <c r="F34" i="41"/>
  <c r="F35" i="41"/>
  <c r="K9" i="4"/>
  <c r="J11" i="4"/>
  <c r="J7" i="4" s="1"/>
  <c r="E12" i="4"/>
  <c r="E22" i="18"/>
  <c r="D27" i="19"/>
  <c r="D22" i="30"/>
  <c r="E12" i="30"/>
  <c r="E22" i="30" s="1"/>
  <c r="E27" i="30" s="1"/>
  <c r="F19" i="30"/>
  <c r="F24" i="30"/>
  <c r="E12" i="5"/>
  <c r="C16" i="5"/>
  <c r="E16" i="5" s="1"/>
  <c r="F17" i="30"/>
  <c r="F16" i="32"/>
  <c r="B5" i="6"/>
  <c r="B6" i="29"/>
  <c r="B6" i="31"/>
  <c r="B8" i="14"/>
  <c r="B6" i="27"/>
  <c r="B4" i="29"/>
  <c r="B4" i="23"/>
  <c r="B5" i="11"/>
  <c r="F18" i="30"/>
  <c r="F15" i="30"/>
  <c r="F12" i="30"/>
  <c r="F19" i="19"/>
  <c r="F15" i="19"/>
  <c r="E24" i="19"/>
  <c r="F14" i="30"/>
  <c r="D21" i="17"/>
  <c r="C15" i="37"/>
  <c r="E15" i="37" s="1"/>
  <c r="B4" i="22"/>
  <c r="B6" i="23"/>
  <c r="B4" i="20"/>
  <c r="B6" i="37"/>
  <c r="B6" i="38" s="1"/>
  <c r="B5" i="9"/>
  <c r="B5" i="7"/>
  <c r="B6" i="26"/>
  <c r="B4" i="26"/>
  <c r="B6" i="19"/>
  <c r="B6" i="25"/>
  <c r="B5" i="40"/>
  <c r="B6" i="20"/>
  <c r="B6" i="22"/>
  <c r="B5" i="39"/>
  <c r="B8" i="17"/>
  <c r="B6" i="12"/>
  <c r="B8" i="12" s="1"/>
  <c r="B5" i="35"/>
  <c r="B4" i="27"/>
  <c r="B6" i="32"/>
  <c r="B5" i="33" s="1"/>
  <c r="B4" i="28"/>
  <c r="B5" i="10"/>
  <c r="B4" i="21"/>
  <c r="B6" i="14"/>
  <c r="B6" i="5"/>
  <c r="C5" i="8"/>
  <c r="B5" i="36"/>
  <c r="D19" i="18"/>
  <c r="D22" i="18" s="1"/>
  <c r="H19" i="18"/>
  <c r="B22" i="18"/>
  <c r="C22" i="19"/>
  <c r="E13" i="19"/>
  <c r="F13" i="19" s="1"/>
  <c r="F20" i="30"/>
  <c r="E21" i="17"/>
  <c r="F21" i="17" s="1"/>
  <c r="F14" i="17"/>
  <c r="D13" i="32"/>
  <c r="G14" i="32"/>
  <c r="G16" i="32" s="1"/>
  <c r="H13" i="32" s="1"/>
  <c r="D14" i="32"/>
  <c r="C16" i="38"/>
  <c r="D13" i="38" s="1"/>
  <c r="G13" i="38"/>
  <c r="K11" i="4" l="1"/>
  <c r="J13" i="4"/>
  <c r="K7" i="4"/>
  <c r="G16" i="38"/>
  <c r="H14" i="38" s="1"/>
  <c r="J19" i="18"/>
  <c r="J22" i="18" s="1"/>
  <c r="H22" i="18"/>
  <c r="D14" i="38"/>
  <c r="D16" i="38" s="1"/>
  <c r="D16" i="32"/>
  <c r="H14" i="32"/>
  <c r="H16" i="32" s="1"/>
  <c r="C27" i="19"/>
  <c r="E22" i="19"/>
  <c r="F22" i="19" s="1"/>
  <c r="B6" i="13"/>
  <c r="B6" i="15"/>
  <c r="F24" i="19"/>
  <c r="E27" i="19"/>
  <c r="D27" i="30"/>
  <c r="F27" i="30" s="1"/>
  <c r="F22" i="30"/>
  <c r="H13" i="38" l="1"/>
  <c r="H16" i="38" s="1"/>
  <c r="F27" i="19"/>
</calcChain>
</file>

<file path=xl/sharedStrings.xml><?xml version="1.0" encoding="utf-8"?>
<sst xmlns="http://schemas.openxmlformats.org/spreadsheetml/2006/main" count="2131" uniqueCount="631">
  <si>
    <t>Statistique mensuelle</t>
  </si>
  <si>
    <t>de la population écrouée et détenue en France</t>
  </si>
  <si>
    <t xml:space="preserve">situation au </t>
  </si>
  <si>
    <t>Direction de l'Administration Pénitentiaire</t>
  </si>
  <si>
    <t>Sommaire</t>
  </si>
  <si>
    <t xml:space="preserve"> Page 2 </t>
  </si>
  <si>
    <t>Page 3</t>
  </si>
  <si>
    <t>Sommaire (suite)</t>
  </si>
  <si>
    <t>Page 4</t>
  </si>
  <si>
    <t>Les chiffres du mois</t>
  </si>
  <si>
    <t>Page 5</t>
  </si>
  <si>
    <t>Tableau 1</t>
  </si>
  <si>
    <t>Nombre de personnes écrouées</t>
  </si>
  <si>
    <t>Page 6</t>
  </si>
  <si>
    <t>Tableau 2</t>
  </si>
  <si>
    <t>Evolution mensuelle de la population écrouée depuis deux années</t>
  </si>
  <si>
    <t>Page 7</t>
  </si>
  <si>
    <t>Tableau 3 A, B et C</t>
  </si>
  <si>
    <t xml:space="preserve">Courbes d'évolutions mensuelles </t>
  </si>
  <si>
    <t>Page 8</t>
  </si>
  <si>
    <t>Tableau 4</t>
  </si>
  <si>
    <t>Evolution mensuelle de la population écrouée non hébergée depuis mai 2004</t>
  </si>
  <si>
    <t>Page 9</t>
  </si>
  <si>
    <t>Tableau 5</t>
  </si>
  <si>
    <t>Courbe d'évolution mensuelle de la population écrouée non hébergée depuis mai 2004</t>
  </si>
  <si>
    <t>Page 10</t>
  </si>
  <si>
    <t>Tableau 6</t>
  </si>
  <si>
    <t>Nombre de personnes écrouées détenues et densité de population</t>
  </si>
  <si>
    <t>Page 11</t>
  </si>
  <si>
    <t>Tableau 7</t>
  </si>
  <si>
    <t>Nombre de personnes écrouées par direction interrégionale</t>
  </si>
  <si>
    <t>Page 12</t>
  </si>
  <si>
    <t>Tableau 8</t>
  </si>
  <si>
    <t>Nombre de personnes écrouées détenues et densité de population par direction interrégionale</t>
  </si>
  <si>
    <t>Page 13</t>
  </si>
  <si>
    <t>Tableau 9</t>
  </si>
  <si>
    <t>Nombre de personnes écrouées non hébergées par direction interrégionale</t>
  </si>
  <si>
    <t>Page 14</t>
  </si>
  <si>
    <t>Tableau 10</t>
  </si>
  <si>
    <t>Densité de population selon le type d'établissement par direction interrégionale</t>
  </si>
  <si>
    <t>Page 15</t>
  </si>
  <si>
    <t>Tableau 11</t>
  </si>
  <si>
    <t>Densité de population selon le type d'établissement</t>
  </si>
  <si>
    <t>Page 16</t>
  </si>
  <si>
    <t>Tableau 12</t>
  </si>
  <si>
    <t>Répartition de la population écrouée détenue selon la catégorie pénale</t>
  </si>
  <si>
    <t>Page 17</t>
  </si>
  <si>
    <t>Tableau 13</t>
  </si>
  <si>
    <t>Répartition de la population écrouée détenue selon la catégorie pénale, par direction interrégionale</t>
  </si>
  <si>
    <t>Page 18</t>
  </si>
  <si>
    <t>Tableau 14</t>
  </si>
  <si>
    <t>Population écrouée détenue par établissement, DI de Bordeaux</t>
  </si>
  <si>
    <t>Page 19</t>
  </si>
  <si>
    <t>Tableau 15</t>
  </si>
  <si>
    <t>Population écrouée détenue par établissement, DI de Dijon</t>
  </si>
  <si>
    <t>Page 20</t>
  </si>
  <si>
    <t>Tableau 16</t>
  </si>
  <si>
    <t>Population écrouée détenue par établissement, DI de Lille</t>
  </si>
  <si>
    <t>Page 21</t>
  </si>
  <si>
    <t>Tableau 17</t>
  </si>
  <si>
    <t>Population écrouée détenue par établissement, DI de Lyon</t>
  </si>
  <si>
    <t>Page 22</t>
  </si>
  <si>
    <t>Tableau 18</t>
  </si>
  <si>
    <t>Population écrouée détenue par établissement, DI de Marseille</t>
  </si>
  <si>
    <t>Page 23</t>
  </si>
  <si>
    <t>Tableau 19</t>
  </si>
  <si>
    <t>Population écrouée détenue par établissement, DI de Paris</t>
  </si>
  <si>
    <t>Page 24</t>
  </si>
  <si>
    <t>Tableau 20</t>
  </si>
  <si>
    <t>Population écrouée détenue par établissement, DI de Rennes</t>
  </si>
  <si>
    <t>Page 25</t>
  </si>
  <si>
    <t>Tableau 21</t>
  </si>
  <si>
    <t>Population écrouée détenue par établissement, DI de Strasbourg</t>
  </si>
  <si>
    <t>Page 26</t>
  </si>
  <si>
    <t>Tableau 22</t>
  </si>
  <si>
    <t>Population écrouée détenue par établissement, DI de Toulouse</t>
  </si>
  <si>
    <t>Page 27</t>
  </si>
  <si>
    <t>Tableau 23</t>
  </si>
  <si>
    <t>Population écrouée détenue par établissement, Outre-Mer</t>
  </si>
  <si>
    <t>Page 30</t>
  </si>
  <si>
    <t>Tableau 26</t>
  </si>
  <si>
    <t>Nombre de personnes écrouées détenues par sexe et par direction interrégionale</t>
  </si>
  <si>
    <t>Page 31</t>
  </si>
  <si>
    <t>Tableau 27</t>
  </si>
  <si>
    <t>Nombre et pourcentage de mineurs écroués détenus</t>
  </si>
  <si>
    <t>Page 32</t>
  </si>
  <si>
    <t>Tableau 28</t>
  </si>
  <si>
    <t>Nombre et pourcentage de mineurs écroués détenus selon la catégorie pénale</t>
  </si>
  <si>
    <t>Page 33</t>
  </si>
  <si>
    <t>Tableau 29</t>
  </si>
  <si>
    <t>Évolution mensuelle du nombre de mineurs écroués, sur deux années</t>
  </si>
  <si>
    <t>Page 34</t>
  </si>
  <si>
    <t>Tableau 30</t>
  </si>
  <si>
    <t>Courbe d'évolution mensuelle du nombre de mineurs écroués, sur deux années</t>
  </si>
  <si>
    <t>Page 35</t>
  </si>
  <si>
    <t>Tableau 31</t>
  </si>
  <si>
    <t>Nombre de mineurs écroués détenus par établissement et direction interrégionale, métropole et outre-mer</t>
  </si>
  <si>
    <t>Page 36</t>
  </si>
  <si>
    <t>Tableau 32</t>
  </si>
  <si>
    <t>Nombre de mineurs écroués détenus par quartier d'établissement et direction interrégionale, métropole et outre-mer</t>
  </si>
  <si>
    <t>Page 37</t>
  </si>
  <si>
    <t>Tableau 33</t>
  </si>
  <si>
    <t>Nombre de femmes écrouées</t>
  </si>
  <si>
    <t>Page 38</t>
  </si>
  <si>
    <t>Tableau 34</t>
  </si>
  <si>
    <t>Femmes écrouées selon la catégorie pénale</t>
  </si>
  <si>
    <t>Page 39</t>
  </si>
  <si>
    <t>Tableau 35</t>
  </si>
  <si>
    <t>Evolution mensuelle du nombre de femmes écrouées depuis deux années</t>
  </si>
  <si>
    <t>Page 40</t>
  </si>
  <si>
    <t>Tableau 36</t>
  </si>
  <si>
    <t>Courbe d' évolution mensuelle du nombre de femmes écrouées depuis deux années</t>
  </si>
  <si>
    <t>Ensemble des personnes sous écrou</t>
  </si>
  <si>
    <t>Ensemble des personnes écrouées en aménagement de peine</t>
  </si>
  <si>
    <t>Evolution annuelle (%)</t>
  </si>
  <si>
    <t>Total</t>
  </si>
  <si>
    <t>écroués non détenus</t>
  </si>
  <si>
    <t>dont condamnés en semi-liberté</t>
  </si>
  <si>
    <t>dont condamnés en placement extérieur non hébergés</t>
  </si>
  <si>
    <t>dont condamnés en placement extérieur</t>
  </si>
  <si>
    <t>écroués détenus</t>
  </si>
  <si>
    <t>Part des aménagés sur l'ensemble des condamnés écroués (%)</t>
  </si>
  <si>
    <t>dont prévenus</t>
  </si>
  <si>
    <t>dont condamnés en placement extérieur hébergés</t>
  </si>
  <si>
    <t>dont condamnés non aménagés</t>
  </si>
  <si>
    <t>Densité carcérale</t>
  </si>
  <si>
    <t xml:space="preserve">nombre de places opérationnelles : </t>
  </si>
  <si>
    <t xml:space="preserve">Nombre de personnes écrouées </t>
  </si>
  <si>
    <t>(détenues ou non hébergées)</t>
  </si>
  <si>
    <t>Champ :</t>
  </si>
  <si>
    <t>Métropole et Outre-Mer</t>
  </si>
  <si>
    <t>Effectif au :</t>
  </si>
  <si>
    <t>Source :</t>
  </si>
  <si>
    <t>DAP - PMJ5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</si>
  <si>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</si>
  <si>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</si>
  <si>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</si>
  <si>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</si>
  <si>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</si>
  <si>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Evolution mensuelle de la population écrouée détenue sur deux années</t>
  </si>
  <si>
    <t>Situation au 1er du mois</t>
  </si>
  <si>
    <t>Prévenus</t>
  </si>
  <si>
    <t>Condamnés</t>
  </si>
  <si>
    <t>Ensemble</t>
  </si>
  <si>
    <t>Variation mensuelle (%)</t>
  </si>
  <si>
    <t>Tableau 3-A</t>
  </si>
  <si>
    <t>Courbe d'évolution mensuelle de la population écrouée détenue depuis 20 ans</t>
  </si>
  <si>
    <t>Tableau 3-B</t>
  </si>
  <si>
    <t>Tableau 3-C</t>
  </si>
  <si>
    <t>Evolution mensuelle de la population écrouée non hébergée depuis 2ans</t>
  </si>
  <si>
    <t>Nombre de personnes placées à l'extérieur, sans hébergement</t>
  </si>
  <si>
    <t>Capacités au :</t>
  </si>
  <si>
    <t>(source DAP - EMS1)</t>
  </si>
  <si>
    <t>Capacité norme circulaire</t>
  </si>
  <si>
    <t>Capacité opérationnelle</t>
  </si>
  <si>
    <t>Nombre de personnes écrouées  détenues</t>
  </si>
  <si>
    <t>Densité (%)</t>
  </si>
  <si>
    <t>Nombre de personnes écrouées par Direction interrégionale</t>
  </si>
  <si>
    <t>Ensemble de la métropole</t>
  </si>
  <si>
    <t>Nombre de personnes écrouées détenues et densité de population par Direction Interrégionale</t>
  </si>
  <si>
    <t>Capacité norme circulaire (*)</t>
  </si>
  <si>
    <t>Capacité opérationnelle (*)</t>
  </si>
  <si>
    <t>Densité (%) (*)</t>
  </si>
  <si>
    <t>Nombre de personnes écrouées non hébergées par Direction Interrégionale</t>
  </si>
  <si>
    <t>Densité de population selon le type d'établissement par Direction Interrégionale</t>
  </si>
  <si>
    <t>Densité Maisons d'Arrêt et Etablissement pour Mineurs (%)</t>
  </si>
  <si>
    <t>Densité établissements pour peine (%) (**)</t>
  </si>
  <si>
    <t>Densité totale (%) (*)</t>
  </si>
  <si>
    <t>Outre mer</t>
  </si>
  <si>
    <t xml:space="preserve">Densité de population selon le type d'établissement </t>
  </si>
  <si>
    <t>(source DAP - EMS1 )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</si>
  <si>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</si>
  <si>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</si>
  <si>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</si>
  <si>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</si>
  <si>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</si>
  <si>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</si>
  <si>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</si>
  <si>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EPM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</si>
  <si>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</si>
  <si>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</si>
  <si>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</si>
  <si>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</si>
  <si>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</si>
  <si>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</si>
  <si>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</si>
  <si>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Répartition de la population écrouée détenue selon la catégorie pénale et par Direction Interrégionale</t>
  </si>
  <si>
    <t>Taux de prévenus (%)</t>
  </si>
  <si>
    <t>Population écrouée détenue par établissement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</si>
  <si>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</si>
  <si>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</si>
  <si>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</si>
  <si>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</si>
  <si>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</si>
  <si>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</si>
  <si>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</si>
  <si>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</si>
  <si>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</si>
  <si>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Nombre de personnes écrouées détenues par sexe et par Direction Interrégionale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</si>
  <si>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</si>
  <si>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</si>
  <si>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</si>
  <si>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</si>
  <si>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</si>
  <si>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</si>
  <si>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</si>
  <si>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</si>
  <si>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</si>
  <si>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</si>
  <si>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</si>
  <si>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</si>
  <si>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</si>
  <si>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</si>
  <si>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Evolution mensuelle du nombre de mineurs écroués détenus sur deux années</t>
  </si>
  <si>
    <t>Evolution mensuelle du nombre de mineurs écroués détenus</t>
  </si>
  <si>
    <t>Nombre de mineurs écroués détenus par établissement</t>
  </si>
  <si>
    <t>Etablissement</t>
  </si>
  <si>
    <t>Nombre de jeunes majeurs occupant des places mineurs</t>
  </si>
  <si>
    <t>Nombre de places mineurs (source EMS1)</t>
  </si>
  <si>
    <t>Taux d'occupation des places mineurs</t>
  </si>
  <si>
    <t>** : disposant d'un quartier femmes, ces établissements sont autorisés à accueillir des détenues mineures</t>
  </si>
  <si>
    <t>Nombre de mineurs écroués détenus par quartier d'établissement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</si>
  <si>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</si>
  <si>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</si>
  <si>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</si>
  <si>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</si>
  <si>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</si>
  <si>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</si>
  <si>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</si>
  <si>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</si>
  <si>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r>
      <t>Densité de population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</si>
  <si>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(**) MC, CD, CPA, qMC, qCD, qCPA et CSL autonomes.</t>
  </si>
  <si>
    <t>** y compris l'E.P.S.N</t>
  </si>
  <si>
    <r>
      <t xml:space="preserve">dont condamnés en placement sous surveillance électronique
</t>
    </r>
    <r>
      <rPr>
        <sz val="10"/>
        <color indexed="12"/>
        <rFont val="Arial"/>
        <family val="2"/>
      </rPr>
      <t>(aménagement de peine)</t>
    </r>
  </si>
  <si>
    <r>
      <t xml:space="preserve">dont condamnés en placement sous surveillance électronique
</t>
    </r>
    <r>
      <rPr>
        <sz val="10"/>
        <color indexed="12"/>
        <rFont val="Arial"/>
        <family val="2"/>
      </rPr>
      <t>de fin de peine</t>
    </r>
  </si>
  <si>
    <t>Nombre de personnes placées sous surveillance électronique*</t>
  </si>
  <si>
    <t>* y compris sous surveillance électronique de fin de peine</t>
  </si>
  <si>
    <t>Nombre de personnes placées sous surveillance électronique de fin de peine</t>
  </si>
  <si>
    <t>Nombre de personnes placées sous surveillance électronique  en aménagement de peine</t>
  </si>
  <si>
    <t>Dont: surveillance électronique de fin de peine</t>
  </si>
  <si>
    <t>CNE et qCNE</t>
  </si>
  <si>
    <t>Page 41</t>
  </si>
  <si>
    <t>Tableau 37</t>
  </si>
  <si>
    <t xml:space="preserve">Evolution du nombre de condamnés bénéficiant d'un aménagement de peine au 1er de chaque mois </t>
  </si>
  <si>
    <t>Page 42</t>
  </si>
  <si>
    <t>Tableau 38</t>
  </si>
  <si>
    <t>Courbe d'évolution mensuelle de la population bénéficiant d'un aménagement de peine depuis 2 ans</t>
  </si>
  <si>
    <t>Page 43</t>
  </si>
  <si>
    <t>Tableau 39</t>
  </si>
  <si>
    <t>Evolution mensuelle par catégorie pénale des populations hébergées et non hébergées</t>
  </si>
  <si>
    <t>Page 44</t>
  </si>
  <si>
    <t>Tableau 40</t>
  </si>
  <si>
    <t>Etablissements dont la densité carcérale est supérieure à 120%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</si>
  <si>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</si>
  <si>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</si>
  <si>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</si>
  <si>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</si>
  <si>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</si>
  <si>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</si>
  <si>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</si>
  <si>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</si>
  <si>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</si>
  <si>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dont SL</t>
  </si>
  <si>
    <t>dont PE hébergés</t>
  </si>
  <si>
    <t>Ensemble des hébergés</t>
  </si>
  <si>
    <t>Variation des hébergés (%)</t>
  </si>
  <si>
    <t>Condamnés non hébergés</t>
  </si>
  <si>
    <t>dont PSE</t>
  </si>
  <si>
    <t>dont PE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</si>
  <si>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</si>
  <si>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</si>
  <si>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</si>
  <si>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</si>
  <si>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</si>
  <si>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</si>
  <si>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</si>
  <si>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</si>
  <si>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</si>
  <si>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(**) y compris l'E.P.S.N</t>
  </si>
  <si>
    <t>(*) voir page 12</t>
  </si>
  <si>
    <t>Bureau des études et de la prospective (PMJ5)</t>
  </si>
  <si>
    <t>PSE*</t>
  </si>
  <si>
    <t>* y compris SEFIP</t>
  </si>
  <si>
    <t xml:space="preserve">1er juillet 2014 </t>
  </si>
  <si>
    <t>Evolution mensuelle du nombre de femmes écrouées depuis le 1er janvier 2012</t>
  </si>
  <si>
    <t>Evolution mensuelle de la population écrouée détenue mineure depuis le 1er janvier  2012</t>
  </si>
  <si>
    <t>Courbe d'évolution mensuelle de la population écrouée non hébergée depuis le 1er janvier 2012</t>
  </si>
  <si>
    <t>Evolution mensuelle du nombre de personnes écrouées non hébergées depuis janvier 2012</t>
  </si>
  <si>
    <t>Courbe d'évolution mensuelle de la population écrouée détenue depuis le 1er janvier 2012</t>
  </si>
  <si>
    <t>Evolution mensuelle de la population écrouée détenue depuis le 1er janvier 2011</t>
  </si>
  <si>
    <t xml:space="preserve"> Courbe d'évolution mensuelle de la population écrouée détenue selon la catégorie pénale depuis le 1er janvier 2012</t>
  </si>
  <si>
    <t xml:space="preserve"> Evolution mensuelle du nombre de prévenus
 depuis le 1er janvier 2011</t>
  </si>
  <si>
    <t xml:space="preserve"> Evolution mensuelle du nombre de condamnés,
 depuis le 1er janvier 2011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</si>
  <si>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</si>
  <si>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</si>
  <si>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</si>
  <si>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</si>
  <si>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</si>
  <si>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</si>
  <si>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</si>
  <si>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</si>
  <si>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</si>
  <si>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</si>
  <si>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</si>
  <si>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</si>
  <si>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</si>
  <si>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</si>
  <si>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</si>
  <si>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</si>
  <si>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</si>
  <si>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</si>
  <si>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</si>
  <si>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</si>
  <si>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</si>
  <si>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</si>
  <si>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</si>
  <si>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</si>
  <si>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</si>
  <si>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</si>
  <si>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</si>
  <si>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</si>
  <si>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</si>
  <si>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</si>
  <si>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</si>
  <si>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</si>
  <si>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</si>
  <si>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</si>
  <si>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Blois</t>
  </si>
  <si>
    <t>Bourges</t>
  </si>
  <si>
    <t>Châlons-en-Champagne</t>
  </si>
  <si>
    <t>Charleville-Mézières</t>
  </si>
  <si>
    <t>Chartres</t>
  </si>
  <si>
    <t>Chaumont</t>
  </si>
  <si>
    <t>Nevers</t>
  </si>
  <si>
    <t>Orléans</t>
  </si>
  <si>
    <t>Reims</t>
  </si>
  <si>
    <t>Tours</t>
  </si>
  <si>
    <t>Troyes</t>
  </si>
  <si>
    <t>Châteauroux</t>
  </si>
  <si>
    <t>Varennes-le-Grand</t>
  </si>
  <si>
    <t>Châteaudun</t>
  </si>
  <si>
    <t>Joux-la-Ville</t>
  </si>
  <si>
    <t>Villenauxe-la-Grande</t>
  </si>
  <si>
    <t>Clairvaux</t>
  </si>
  <si>
    <t>Saint Maur</t>
  </si>
  <si>
    <t>Montargis</t>
  </si>
  <si>
    <t>Direction Interrégionale de Lille</t>
  </si>
  <si>
    <t>qMC</t>
  </si>
  <si>
    <t>qCNE</t>
  </si>
  <si>
    <t>Amiens</t>
  </si>
  <si>
    <t>Arras</t>
  </si>
  <si>
    <t>Beauvais</t>
  </si>
  <si>
    <t>Béthune</t>
  </si>
  <si>
    <t>Compiègne</t>
  </si>
  <si>
    <t>Douai</t>
  </si>
  <si>
    <t>Dunkerque</t>
  </si>
  <si>
    <t>Evreux</t>
  </si>
  <si>
    <t>Rouen</t>
  </si>
  <si>
    <t>Valenciennes</t>
  </si>
  <si>
    <t>Laon</t>
  </si>
  <si>
    <t>Le Havre</t>
  </si>
  <si>
    <t>Liancourt</t>
  </si>
  <si>
    <t>Lille-Annoeullin</t>
  </si>
  <si>
    <t>Longuenesse</t>
  </si>
  <si>
    <t>Maubeuge</t>
  </si>
  <si>
    <t>Lille-Loos-Séquedin (Lille-Séquedin)</t>
  </si>
  <si>
    <t>Bapaume</t>
  </si>
  <si>
    <t>Val-de-Reuil</t>
  </si>
  <si>
    <t>Château-Thierry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</si>
  <si>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</si>
  <si>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</si>
  <si>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</si>
  <si>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</si>
  <si>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</si>
  <si>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</si>
  <si>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</si>
  <si>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Clermont-Ferrand</t>
  </si>
  <si>
    <t>Grenoble</t>
  </si>
  <si>
    <t>Le-Puy-en-Velay</t>
  </si>
  <si>
    <t>Lyon Corbas</t>
  </si>
  <si>
    <t>Montluçon</t>
  </si>
  <si>
    <t>Privas</t>
  </si>
  <si>
    <t>Riom</t>
  </si>
  <si>
    <t>Saint Etienne-la-Talaudière</t>
  </si>
  <si>
    <t>Valence</t>
  </si>
  <si>
    <t>Villefranche-sur-Saône</t>
  </si>
  <si>
    <t>Aiton</t>
  </si>
  <si>
    <t>Bourg-en-Bresse</t>
  </si>
  <si>
    <t>Moulins Yzeure</t>
  </si>
  <si>
    <t>Saint-Quentin-Fallavier</t>
  </si>
  <si>
    <t>Roanne</t>
  </si>
  <si>
    <t>Rhône</t>
  </si>
  <si>
    <t>Direction Interrégionale de Marseille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</si>
  <si>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</si>
  <si>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</si>
  <si>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</si>
  <si>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</si>
  <si>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</si>
  <si>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</si>
  <si>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</si>
  <si>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</si>
  <si>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</si>
  <si>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</si>
  <si>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</si>
  <si>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</si>
  <si>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</si>
  <si>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</si>
  <si>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</si>
  <si>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Bois d'Arcy</t>
  </si>
  <si>
    <t>Fleury-Mérogis</t>
  </si>
  <si>
    <t>Nanterre</t>
  </si>
  <si>
    <t>Osny-Pontoise</t>
  </si>
  <si>
    <t>Paris-La-Santé</t>
  </si>
  <si>
    <t>Versailles</t>
  </si>
  <si>
    <t>Villepinte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</si>
  <si>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</si>
  <si>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</si>
  <si>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</si>
  <si>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</si>
  <si>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</si>
  <si>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</si>
  <si>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</si>
  <si>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</si>
  <si>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</si>
  <si>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</si>
  <si>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</si>
  <si>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</si>
  <si>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</si>
  <si>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</si>
  <si>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</si>
  <si>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Fontenay-le-Comte</t>
  </si>
  <si>
    <t>La Roche-sur-Yon</t>
  </si>
  <si>
    <t>Laval</t>
  </si>
  <si>
    <t>Le Mans-Croisettes</t>
  </si>
  <si>
    <t>Saint Malo</t>
  </si>
  <si>
    <t>Saint-Brieuc</t>
  </si>
  <si>
    <t>Vannes</t>
  </si>
  <si>
    <t>Lorient-Ploemeur</t>
  </si>
  <si>
    <t>Nantes</t>
  </si>
  <si>
    <t>Rennes-Vezin</t>
  </si>
  <si>
    <t>Argentan</t>
  </si>
  <si>
    <t>Alençon-Condé-sur-Sarthe</t>
  </si>
  <si>
    <t>Orvault</t>
  </si>
  <si>
    <t>Direction Interrégionale de Strasbourg</t>
  </si>
  <si>
    <t>Bar-le-Duc</t>
  </si>
  <si>
    <t>Belfort</t>
  </si>
  <si>
    <t>Besançon</t>
  </si>
  <si>
    <t>Colmar</t>
  </si>
  <si>
    <t>Epinal</t>
  </si>
  <si>
    <t>Lons-le-Saunier</t>
  </si>
  <si>
    <t>Lure</t>
  </si>
  <si>
    <t>Montbéliard</t>
  </si>
  <si>
    <t>Mulhouse</t>
  </si>
  <si>
    <t>Sarreguemines</t>
  </si>
  <si>
    <t>Vesoul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</si>
  <si>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</si>
  <si>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</si>
  <si>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</si>
  <si>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</si>
  <si>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</si>
  <si>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</si>
  <si>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</si>
  <si>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</si>
  <si>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</si>
  <si>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</si>
  <si>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</si>
  <si>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</si>
  <si>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</si>
  <si>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</si>
  <si>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</si>
  <si>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</si>
  <si>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</si>
  <si>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</si>
  <si>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</si>
  <si>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</si>
  <si>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</si>
  <si>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</si>
  <si>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</si>
  <si>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</si>
  <si>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</si>
  <si>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</si>
  <si>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</si>
  <si>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</si>
  <si>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</si>
  <si>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</si>
  <si>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</si>
  <si>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</si>
  <si>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</si>
  <si>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</si>
  <si>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</si>
  <si>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</si>
  <si>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</si>
  <si>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Taiohae</t>
  </si>
  <si>
    <t>Uturoa-Raiatea</t>
  </si>
  <si>
    <t>Faa'a Nuutania</t>
  </si>
  <si>
    <t>Nouméa</t>
  </si>
  <si>
    <t>Le Port (Plaine les Galets)</t>
  </si>
  <si>
    <t>- 9 établissements ou quartiers ont une densité supérieure ou égale à 200 %,</t>
  </si>
  <si>
    <t>- 30 établissements ou quartiers ont une densité supérieure ou égale à 150 et inférieure à 200 %,</t>
  </si>
  <si>
    <t>- 56 établissements ou quartiers ont une densité supérieure ou égale à 120 et inférieure à 150 %,</t>
  </si>
  <si>
    <t>- 30 établissements ou quartiers ont une densité supérieure ou égale à 100 et inférieure à 120 %,</t>
  </si>
  <si>
    <t>- 123 établissements ou quartiers ont une densité inférieure à 100 %</t>
  </si>
  <si>
    <t>juillet 2012</t>
  </si>
  <si>
    <t>août 2012</t>
  </si>
  <si>
    <t>septembre 2012</t>
  </si>
  <si>
    <t>octobre 2012</t>
  </si>
  <si>
    <t>novembre 2012</t>
  </si>
  <si>
    <t>décembre 2012</t>
  </si>
  <si>
    <t>janvier 2013</t>
  </si>
  <si>
    <t>février 2013</t>
  </si>
  <si>
    <t>mars 2013</t>
  </si>
  <si>
    <t>avril 2013</t>
  </si>
  <si>
    <t>mai 2013</t>
  </si>
  <si>
    <t>juin 2013</t>
  </si>
  <si>
    <t>juillet 2013</t>
  </si>
  <si>
    <t>août 2013</t>
  </si>
  <si>
    <t>septembre 2013</t>
  </si>
  <si>
    <t>octobre 2013</t>
  </si>
  <si>
    <t>novembre 2013</t>
  </si>
  <si>
    <t>décembre 2013</t>
  </si>
  <si>
    <t>janvier 2014</t>
  </si>
  <si>
    <t>février 2014</t>
  </si>
  <si>
    <t>mars 2014</t>
  </si>
  <si>
    <t>avril 2014</t>
  </si>
  <si>
    <t>mai 2014</t>
  </si>
  <si>
    <t>juin 2014</t>
  </si>
  <si>
    <t>juillet 2014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</si>
  <si>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</si>
  <si>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</si>
  <si>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</si>
  <si>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</si>
  <si>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</si>
  <si>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</si>
  <si>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</si>
  <si>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</si>
  <si>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</si>
  <si>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</si>
  <si>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</si>
  <si>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</si>
  <si>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</si>
  <si>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Fresnes **</t>
  </si>
  <si>
    <t>Versailles **</t>
  </si>
  <si>
    <t>Remire-Montjoly</t>
  </si>
  <si>
    <t>75</t>
  </si>
  <si>
    <t>366</t>
  </si>
  <si>
    <t>365</t>
  </si>
  <si>
    <t>85</t>
  </si>
  <si>
    <t>66</t>
  </si>
  <si>
    <t>51</t>
  </si>
  <si>
    <t>83</t>
  </si>
  <si>
    <t>60</t>
  </si>
  <si>
    <t>47</t>
  </si>
  <si>
    <t>88</t>
  </si>
  <si>
    <t>116</t>
  </si>
  <si>
    <t>78</t>
  </si>
  <si>
    <t>185</t>
  </si>
  <si>
    <t>105</t>
  </si>
  <si>
    <t>145</t>
  </si>
  <si>
    <t>193</t>
  </si>
  <si>
    <t>307</t>
  </si>
  <si>
    <t>202</t>
  </si>
  <si>
    <t>117</t>
  </si>
  <si>
    <t>180</t>
  </si>
  <si>
    <t>167</t>
  </si>
  <si>
    <t>385</t>
  </si>
  <si>
    <t>162</t>
  </si>
  <si>
    <t>195</t>
  </si>
  <si>
    <t>232</t>
  </si>
  <si>
    <t>449</t>
  </si>
  <si>
    <t>584</t>
  </si>
  <si>
    <t>196</t>
  </si>
  <si>
    <t>222</t>
  </si>
  <si>
    <t>227</t>
  </si>
  <si>
    <t>93</t>
  </si>
  <si>
    <t>36</t>
  </si>
  <si>
    <t>688</t>
  </si>
  <si>
    <t>21</t>
  </si>
  <si>
    <t>327</t>
  </si>
  <si>
    <t>237</t>
  </si>
  <si>
    <t>137</t>
  </si>
  <si>
    <t>612</t>
  </si>
  <si>
    <t>420</t>
  </si>
  <si>
    <t>573</t>
  </si>
  <si>
    <t>1197</t>
  </si>
  <si>
    <t>363</t>
  </si>
  <si>
    <t>395</t>
  </si>
  <si>
    <t>500</t>
  </si>
  <si>
    <t>77</t>
  </si>
  <si>
    <t>2857</t>
  </si>
  <si>
    <t>1404</t>
  </si>
  <si>
    <t>48</t>
  </si>
  <si>
    <t>43</t>
  </si>
  <si>
    <t>592</t>
  </si>
  <si>
    <t>579</t>
  </si>
  <si>
    <t>587</t>
  </si>
  <si>
    <t>266</t>
  </si>
  <si>
    <t>254</t>
  </si>
  <si>
    <t>269</t>
  </si>
  <si>
    <t>46</t>
  </si>
  <si>
    <t>39</t>
  </si>
  <si>
    <t>71</t>
  </si>
  <si>
    <t>401</t>
  </si>
  <si>
    <t>198</t>
  </si>
  <si>
    <t>480</t>
  </si>
  <si>
    <t>92</t>
  </si>
  <si>
    <t>52</t>
  </si>
  <si>
    <t>120</t>
  </si>
  <si>
    <t>404</t>
  </si>
  <si>
    <t>41</t>
  </si>
  <si>
    <t>283</t>
  </si>
  <si>
    <t>452</t>
  </si>
  <si>
    <t>445</t>
  </si>
  <si>
    <t>416</t>
  </si>
  <si>
    <t>64</t>
  </si>
  <si>
    <t>45</t>
  </si>
  <si>
    <t>144</t>
  </si>
  <si>
    <t>192</t>
  </si>
  <si>
    <t>204</t>
  </si>
  <si>
    <t>69</t>
  </si>
  <si>
    <t>651</t>
  </si>
  <si>
    <t>593</t>
  </si>
  <si>
    <t>Outre-mer</t>
  </si>
  <si>
    <t>130</t>
  </si>
  <si>
    <t>358</t>
  </si>
  <si>
    <t>211</t>
  </si>
  <si>
    <t>111</t>
  </si>
  <si>
    <t>54</t>
  </si>
  <si>
    <t>310</t>
  </si>
  <si>
    <t>197</t>
  </si>
  <si>
    <t>Nombre de matelas au sol</t>
  </si>
  <si>
    <t>Soit 95 établissements ou quartiers d'établissement et 39 334 détenus concernés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</si>
</sst>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</numFmts>
  <fonts count="47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b/>
      <sz val="12"/>
      <color indexed="10"/>
      <name val="Arial"/>
      <family val="2"/>
    </font>
    <font>
      <b/>
      <u/>
      <sz val="10"/>
      <color indexed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i/>
      <sz val="12"/>
      <name val="Arial"/>
      <family val="2"/>
    </font>
    <font>
      <b/>
      <i/>
      <sz val="10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b/>
      <i/>
      <sz val="9"/>
      <name val="Times New Roman"/>
      <family val="1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color indexed="12"/>
      <name val="Arial"/>
      <family val="2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sz val="9"/>
      <name val="Arial"/>
      <family val="2"/>
    </font>
    <font>
      <b/>
      <i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5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theme="0" tint="-0.34998626667073579"/>
      </top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42" fillId="0" borderId="0"/>
    <xf numFmtId="0" fontId="1" fillId="0" borderId="0"/>
    <xf numFmtId="0" fontId="42" fillId="0" borderId="0"/>
    <xf numFmtId="9" fontId="1" fillId="0" borderId="0" applyFont="0" applyFill="0" applyBorder="0" applyAlignment="0" applyProtection="0"/>
    <xf numFmtId="9" fontId="42" fillId="0" borderId="0" applyFont="0" applyFill="0" applyBorder="0" applyAlignment="0" applyProtection="0"/>
  </cellStyleXfs>
  <cellXfs count="492">
    <xf numFmtId="0" fontId="0" fillId="0" borderId="0" xfId="0"/>
    <xf numFmtId="0" fontId="2" fillId="0" borderId="0" xfId="3" applyFont="1" applyFill="1"/>
    <xf numFmtId="0" fontId="2" fillId="0" borderId="0" xfId="0" applyFont="1" applyFill="1"/>
    <xf numFmtId="0" fontId="3" fillId="0" borderId="0" xfId="3" applyFont="1" applyFill="1"/>
    <xf numFmtId="49" fontId="4" fillId="0" borderId="0" xfId="3" applyNumberFormat="1" applyFont="1" applyFill="1" applyBorder="1" applyAlignment="1">
      <alignment horizontal="centerContinuous"/>
    </xf>
    <xf numFmtId="0" fontId="5" fillId="0" borderId="1" xfId="3" applyFont="1" applyFill="1" applyBorder="1" applyAlignment="1">
      <alignment horizontal="left"/>
    </xf>
    <xf numFmtId="0" fontId="2" fillId="0" borderId="1" xfId="3" applyFont="1" applyFill="1" applyBorder="1" applyAlignment="1">
      <alignment horizontal="centerContinuous"/>
    </xf>
    <xf numFmtId="0" fontId="2" fillId="0" borderId="0" xfId="3" applyFont="1" applyFill="1" applyAlignment="1">
      <alignment horizontal="centerContinuous"/>
    </xf>
    <xf numFmtId="0" fontId="6" fillId="0" borderId="0" xfId="3" applyFont="1" applyFill="1"/>
    <xf numFmtId="0" fontId="7" fillId="0" borderId="0" xfId="3" applyFont="1" applyFill="1"/>
    <xf numFmtId="0" fontId="7" fillId="0" borderId="0" xfId="3" applyFont="1" applyFill="1" applyAlignment="1">
      <alignment horizontal="left"/>
    </xf>
    <xf numFmtId="0" fontId="2" fillId="0" borderId="0" xfId="3" applyFont="1" applyFill="1" applyAlignment="1">
      <alignment horizontal="left"/>
    </xf>
    <xf numFmtId="0" fontId="8" fillId="0" borderId="0" xfId="3" applyFont="1" applyFill="1" applyAlignment="1">
      <alignment horizontal="left" vertical="center"/>
    </xf>
    <xf numFmtId="0" fontId="9" fillId="0" borderId="0" xfId="3" applyFont="1" applyFill="1" applyAlignment="1">
      <alignment horizontal="center" vertical="center"/>
    </xf>
    <xf numFmtId="0" fontId="9" fillId="0" borderId="0" xfId="3" applyFont="1" applyFill="1" applyAlignment="1">
      <alignment horizontal="left" vertical="center"/>
    </xf>
    <xf numFmtId="0" fontId="9" fillId="0" borderId="0" xfId="3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3" applyFont="1" applyFill="1" applyAlignment="1">
      <alignment horizontal="left" vertical="center"/>
    </xf>
    <xf numFmtId="0" fontId="11" fillId="0" borderId="0" xfId="3" applyFont="1" applyFill="1" applyAlignment="1">
      <alignment horizontal="center" vertical="center"/>
    </xf>
    <xf numFmtId="0" fontId="11" fillId="0" borderId="0" xfId="3" applyFont="1" applyFill="1" applyAlignment="1">
      <alignment horizontal="left" vertical="center"/>
    </xf>
    <xf numFmtId="0" fontId="11" fillId="0" borderId="0" xfId="3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3" applyFont="1" applyFill="1" applyAlignment="1">
      <alignment horizontal="centerContinuous" vertical="center"/>
    </xf>
    <xf numFmtId="0" fontId="7" fillId="0" borderId="0" xfId="3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3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3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12" fillId="0" borderId="0" xfId="0" applyFont="1"/>
    <xf numFmtId="0" fontId="12" fillId="0" borderId="0" xfId="0" applyFont="1" applyAlignment="1">
      <alignment horizontal="right"/>
    </xf>
    <xf numFmtId="0" fontId="13" fillId="0" borderId="0" xfId="0" applyFont="1"/>
    <xf numFmtId="1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3" fontId="14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/>
    </xf>
    <xf numFmtId="167" fontId="15" fillId="0" borderId="3" xfId="5" applyNumberFormat="1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14" fillId="0" borderId="4" xfId="0" applyNumberFormat="1" applyFont="1" applyBorder="1" applyAlignment="1">
      <alignment horizontal="center" vertical="center"/>
    </xf>
    <xf numFmtId="3" fontId="15" fillId="0" borderId="4" xfId="0" applyNumberFormat="1" applyFont="1" applyBorder="1" applyAlignment="1">
      <alignment horizontal="center" vertical="center"/>
    </xf>
    <xf numFmtId="167" fontId="15" fillId="0" borderId="4" xfId="5" applyNumberFormat="1" applyFont="1" applyBorder="1" applyAlignment="1">
      <alignment horizontal="center" vertical="center"/>
    </xf>
    <xf numFmtId="3" fontId="14" fillId="0" borderId="5" xfId="0" applyNumberFormat="1" applyFont="1" applyBorder="1" applyAlignment="1">
      <alignment horizontal="center" vertical="center"/>
    </xf>
    <xf numFmtId="3" fontId="15" fillId="0" borderId="5" xfId="0" applyNumberFormat="1" applyFont="1" applyBorder="1" applyAlignment="1">
      <alignment horizontal="center" vertical="center"/>
    </xf>
    <xf numFmtId="167" fontId="15" fillId="0" borderId="5" xfId="5" applyNumberFormat="1" applyFont="1" applyBorder="1" applyAlignment="1">
      <alignment horizontal="center" vertical="center"/>
    </xf>
    <xf numFmtId="3" fontId="17" fillId="0" borderId="5" xfId="0" applyNumberFormat="1" applyFont="1" applyBorder="1" applyAlignment="1">
      <alignment horizontal="center" vertical="center"/>
    </xf>
    <xf numFmtId="3" fontId="17" fillId="0" borderId="6" xfId="0" applyNumberFormat="1" applyFont="1" applyBorder="1" applyAlignment="1">
      <alignment horizontal="center" vertical="center"/>
    </xf>
    <xf numFmtId="3" fontId="15" fillId="0" borderId="6" xfId="0" applyNumberFormat="1" applyFont="1" applyBorder="1" applyAlignment="1">
      <alignment horizontal="center" vertical="center"/>
    </xf>
    <xf numFmtId="167" fontId="15" fillId="0" borderId="6" xfId="5" applyNumberFormat="1" applyFont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4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2" fillId="0" borderId="0" xfId="3" quotePrefix="1" applyFont="1" applyFill="1" applyBorder="1"/>
    <xf numFmtId="0" fontId="2" fillId="0" borderId="0" xfId="0" quotePrefix="1" applyFont="1" applyFill="1"/>
    <xf numFmtId="0" fontId="18" fillId="0" borderId="0" xfId="0" applyFont="1"/>
    <xf numFmtId="3" fontId="20" fillId="0" borderId="0" xfId="0" applyNumberFormat="1" applyFont="1" applyFill="1" applyAlignment="1">
      <alignment horizontal="left"/>
    </xf>
    <xf numFmtId="3" fontId="18" fillId="0" borderId="0" xfId="0" applyNumberFormat="1" applyFont="1"/>
    <xf numFmtId="0" fontId="10" fillId="0" borderId="0" xfId="0" applyFont="1" applyFill="1" applyAlignment="1">
      <alignment horizontal="left" vertical="center"/>
    </xf>
    <xf numFmtId="0" fontId="21" fillId="0" borderId="0" xfId="0" applyFont="1" applyFill="1" applyAlignment="1">
      <alignment horizontal="left" vertical="center"/>
    </xf>
    <xf numFmtId="0" fontId="22" fillId="0" borderId="0" xfId="0" applyFont="1" applyFill="1" applyAlignment="1">
      <alignment horizontal="left" vertical="center"/>
    </xf>
    <xf numFmtId="0" fontId="23" fillId="0" borderId="9" xfId="0" applyFont="1" applyFill="1" applyBorder="1" applyAlignment="1">
      <alignment horizontal="right" vertical="center"/>
    </xf>
    <xf numFmtId="0" fontId="24" fillId="0" borderId="10" xfId="0" applyFont="1" applyFill="1" applyBorder="1" applyAlignment="1">
      <alignment horizontal="left" vertical="center"/>
    </xf>
    <xf numFmtId="0" fontId="24" fillId="0" borderId="1" xfId="0" applyFont="1" applyFill="1" applyBorder="1" applyAlignment="1">
      <alignment horizontal="left" vertical="center"/>
    </xf>
    <xf numFmtId="0" fontId="24" fillId="0" borderId="1" xfId="0" applyFont="1" applyFill="1" applyBorder="1" applyAlignment="1">
      <alignment vertical="center"/>
    </xf>
    <xf numFmtId="0" fontId="23" fillId="0" borderId="11" xfId="0" applyFont="1" applyFill="1" applyBorder="1" applyAlignment="1">
      <alignment horizontal="right" vertical="center"/>
    </xf>
    <xf numFmtId="0" fontId="24" fillId="0" borderId="12" xfId="0" applyFont="1" applyFill="1" applyBorder="1" applyAlignment="1">
      <alignment horizontal="left" vertical="center"/>
    </xf>
    <xf numFmtId="0" fontId="24" fillId="0" borderId="13" xfId="0" applyFont="1" applyFill="1" applyBorder="1" applyAlignment="1">
      <alignment horizontal="left" vertical="center"/>
    </xf>
    <xf numFmtId="0" fontId="24" fillId="0" borderId="13" xfId="0" applyFont="1" applyFill="1" applyBorder="1" applyAlignment="1">
      <alignment vertical="center"/>
    </xf>
    <xf numFmtId="0" fontId="23" fillId="0" borderId="14" xfId="0" applyFont="1" applyFill="1" applyBorder="1" applyAlignment="1">
      <alignment horizontal="right" vertical="center"/>
    </xf>
    <xf numFmtId="0" fontId="24" fillId="0" borderId="14" xfId="0" applyFont="1" applyFill="1" applyBorder="1" applyAlignment="1">
      <alignment horizontal="left" vertical="center"/>
    </xf>
    <xf numFmtId="0" fontId="24" fillId="0" borderId="14" xfId="0" applyFont="1" applyFill="1" applyBorder="1" applyAlignment="1">
      <alignment vertical="center"/>
    </xf>
    <xf numFmtId="0" fontId="25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2" xfId="0" applyFont="1" applyFill="1" applyBorder="1" applyAlignment="1">
      <alignment horizontal="center" vertical="center" wrapText="1"/>
    </xf>
    <xf numFmtId="0" fontId="26" fillId="0" borderId="15" xfId="0" applyFont="1" applyFill="1" applyBorder="1" applyAlignment="1">
      <alignment horizontal="center" vertical="center" wrapText="1"/>
    </xf>
    <xf numFmtId="0" fontId="27" fillId="0" borderId="16" xfId="0" applyFont="1" applyFill="1" applyBorder="1" applyAlignment="1">
      <alignment horizontal="left" vertical="center"/>
    </xf>
    <xf numFmtId="165" fontId="24" fillId="0" borderId="16" xfId="1" applyNumberFormat="1" applyFont="1" applyFill="1" applyBorder="1" applyAlignment="1">
      <alignment vertical="center"/>
    </xf>
    <xf numFmtId="165" fontId="24" fillId="0" borderId="17" xfId="1" applyNumberFormat="1" applyFont="1" applyFill="1" applyBorder="1" applyAlignment="1">
      <alignment vertical="center"/>
    </xf>
    <xf numFmtId="165" fontId="24" fillId="0" borderId="18" xfId="1" applyNumberFormat="1" applyFont="1" applyFill="1" applyBorder="1" applyAlignment="1">
      <alignment vertical="center"/>
    </xf>
    <xf numFmtId="0" fontId="27" fillId="0" borderId="19" xfId="0" applyFont="1" applyFill="1" applyBorder="1" applyAlignment="1">
      <alignment horizontal="left" vertical="center"/>
    </xf>
    <xf numFmtId="165" fontId="2" fillId="0" borderId="19" xfId="1" applyNumberFormat="1" applyFont="1" applyFill="1" applyBorder="1" applyAlignment="1">
      <alignment vertical="center"/>
    </xf>
    <xf numFmtId="165" fontId="2" fillId="0" borderId="20" xfId="1" applyNumberFormat="1" applyFont="1" applyFill="1" applyBorder="1" applyAlignment="1">
      <alignment vertical="center"/>
    </xf>
    <xf numFmtId="165" fontId="2" fillId="0" borderId="21" xfId="1" applyNumberFormat="1" applyFont="1" applyFill="1" applyBorder="1" applyAlignment="1">
      <alignment vertical="center"/>
    </xf>
    <xf numFmtId="0" fontId="27" fillId="0" borderId="20" xfId="0" applyFont="1" applyFill="1" applyBorder="1" applyAlignment="1">
      <alignment horizontal="left" vertical="center"/>
    </xf>
    <xf numFmtId="165" fontId="24" fillId="0" borderId="20" xfId="1" applyNumberFormat="1" applyFont="1" applyFill="1" applyBorder="1" applyAlignment="1">
      <alignment vertical="center"/>
    </xf>
    <xf numFmtId="0" fontId="23" fillId="0" borderId="20" xfId="0" applyFont="1" applyFill="1" applyBorder="1" applyAlignment="1">
      <alignment horizontal="left" vertical="center"/>
    </xf>
    <xf numFmtId="0" fontId="23" fillId="0" borderId="22" xfId="0" applyFont="1" applyFill="1" applyBorder="1" applyAlignment="1">
      <alignment horizontal="left" vertical="center"/>
    </xf>
    <xf numFmtId="165" fontId="23" fillId="0" borderId="22" xfId="1" applyNumberFormat="1" applyFont="1" applyFill="1" applyBorder="1" applyAlignment="1">
      <alignment vertical="center"/>
    </xf>
    <xf numFmtId="165" fontId="23" fillId="0" borderId="10" xfId="1" applyNumberFormat="1" applyFont="1" applyFill="1" applyBorder="1" applyAlignment="1">
      <alignment vertical="center"/>
    </xf>
    <xf numFmtId="165" fontId="23" fillId="0" borderId="23" xfId="1" applyNumberFormat="1" applyFont="1" applyFill="1" applyBorder="1" applyAlignment="1">
      <alignment vertical="center"/>
    </xf>
    <xf numFmtId="0" fontId="25" fillId="0" borderId="0" xfId="0" applyFont="1" applyFill="1" applyBorder="1" applyAlignment="1">
      <alignment horizontal="left" vertical="center"/>
    </xf>
    <xf numFmtId="165" fontId="25" fillId="0" borderId="0" xfId="1" applyNumberFormat="1" applyFont="1" applyFill="1" applyBorder="1" applyAlignment="1">
      <alignment vertical="center"/>
    </xf>
    <xf numFmtId="0" fontId="25" fillId="0" borderId="0" xfId="0" applyFont="1" applyFill="1" applyAlignment="1">
      <alignment horizontal="left" vertical="center"/>
    </xf>
    <xf numFmtId="0" fontId="24" fillId="0" borderId="0" xfId="0" applyFont="1" applyFill="1" applyAlignment="1">
      <alignment vertical="center"/>
    </xf>
    <xf numFmtId="0" fontId="24" fillId="0" borderId="0" xfId="0" applyFont="1" applyFill="1" applyAlignment="1"/>
    <xf numFmtId="0" fontId="24" fillId="0" borderId="0" xfId="0" applyFont="1" applyFill="1" applyBorder="1" applyAlignment="1">
      <alignment horizontal="left" vertical="center"/>
    </xf>
    <xf numFmtId="0" fontId="23" fillId="0" borderId="0" xfId="0" applyFont="1" applyFill="1" applyBorder="1" applyAlignment="1">
      <alignment horizontal="right" vertical="center"/>
    </xf>
    <xf numFmtId="0" fontId="28" fillId="0" borderId="0" xfId="0" applyFont="1" applyFill="1" applyAlignment="1"/>
    <xf numFmtId="0" fontId="2" fillId="0" borderId="1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8" fillId="0" borderId="20" xfId="0" applyFont="1" applyFill="1" applyBorder="1" applyAlignment="1"/>
    <xf numFmtId="3" fontId="26" fillId="0" borderId="20" xfId="1" applyNumberFormat="1" applyFont="1" applyFill="1" applyBorder="1" applyAlignment="1">
      <alignment horizontal="left"/>
    </xf>
    <xf numFmtId="3" fontId="2" fillId="0" borderId="20" xfId="1" applyNumberFormat="1" applyFont="1" applyFill="1" applyBorder="1" applyAlignment="1">
      <alignment horizontal="center"/>
    </xf>
    <xf numFmtId="168" fontId="2" fillId="0" borderId="19" xfId="0" applyNumberFormat="1" applyFont="1" applyFill="1" applyBorder="1" applyAlignment="1">
      <alignment horizontal="center"/>
    </xf>
    <xf numFmtId="3" fontId="26" fillId="0" borderId="22" xfId="1" applyNumberFormat="1" applyFont="1" applyFill="1" applyBorder="1" applyAlignment="1">
      <alignment horizontal="left"/>
    </xf>
    <xf numFmtId="3" fontId="2" fillId="0" borderId="10" xfId="1" applyNumberFormat="1" applyFont="1" applyFill="1" applyBorder="1" applyAlignment="1">
      <alignment horizontal="center"/>
    </xf>
    <xf numFmtId="3" fontId="2" fillId="0" borderId="22" xfId="1" applyNumberFormat="1" applyFont="1" applyFill="1" applyBorder="1" applyAlignment="1">
      <alignment horizontal="center"/>
    </xf>
    <xf numFmtId="168" fontId="2" fillId="0" borderId="22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1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8" fillId="0" borderId="0" xfId="0" applyFont="1" applyFill="1" applyBorder="1" applyAlignment="1"/>
    <xf numFmtId="0" fontId="2" fillId="0" borderId="0" xfId="0" applyFont="1" applyFill="1" applyAlignment="1"/>
    <xf numFmtId="0" fontId="29" fillId="0" borderId="0" xfId="0" applyFont="1" applyFill="1" applyAlignment="1">
      <alignment horizontal="left"/>
    </xf>
    <xf numFmtId="0" fontId="29" fillId="0" borderId="0" xfId="0" applyFont="1" applyFill="1" applyBorder="1" applyAlignment="1">
      <alignment horizontal="left"/>
    </xf>
    <xf numFmtId="0" fontId="24" fillId="0" borderId="0" xfId="0" applyFont="1" applyFill="1" applyBorder="1" applyAlignment="1"/>
    <xf numFmtId="167" fontId="24" fillId="0" borderId="0" xfId="5" applyNumberFormat="1" applyFont="1" applyFill="1" applyAlignment="1"/>
    <xf numFmtId="0" fontId="0" fillId="0" borderId="1" xfId="0" applyBorder="1"/>
    <xf numFmtId="0" fontId="0" fillId="0" borderId="13" xfId="0" applyBorder="1"/>
    <xf numFmtId="0" fontId="30" fillId="0" borderId="0" xfId="0" applyFont="1" applyFill="1" applyAlignment="1" applyProtection="1">
      <alignment horizontal="left" vertical="center" wrapText="1"/>
    </xf>
    <xf numFmtId="0" fontId="31" fillId="0" borderId="0" xfId="0" applyFont="1"/>
    <xf numFmtId="0" fontId="25" fillId="0" borderId="9" xfId="0" applyFont="1" applyFill="1" applyBorder="1" applyAlignment="1">
      <alignment horizontal="right" vertical="center"/>
    </xf>
    <xf numFmtId="0" fontId="2" fillId="0" borderId="10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5" fillId="0" borderId="11" xfId="0" applyFont="1" applyFill="1" applyBorder="1" applyAlignment="1">
      <alignment horizontal="right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13" xfId="0" applyFont="1" applyFill="1" applyBorder="1" applyAlignment="1">
      <alignment horizontal="left" vertical="center"/>
    </xf>
    <xf numFmtId="3" fontId="2" fillId="0" borderId="20" xfId="1" applyNumberFormat="1" applyFont="1" applyFill="1" applyBorder="1" applyAlignment="1">
      <alignment horizontal="left"/>
    </xf>
    <xf numFmtId="0" fontId="24" fillId="0" borderId="20" xfId="0" applyFont="1" applyFill="1" applyBorder="1" applyAlignment="1"/>
    <xf numFmtId="0" fontId="24" fillId="0" borderId="20" xfId="0" applyFont="1" applyBorder="1" applyAlignment="1">
      <alignment horizontal="right"/>
    </xf>
    <xf numFmtId="0" fontId="24" fillId="0" borderId="19" xfId="0" applyFont="1" applyFill="1" applyBorder="1" applyAlignment="1"/>
    <xf numFmtId="168" fontId="24" fillId="0" borderId="19" xfId="0" applyNumberFormat="1" applyFont="1" applyFill="1" applyBorder="1" applyAlignment="1">
      <alignment horizontal="center"/>
    </xf>
    <xf numFmtId="3" fontId="2" fillId="0" borderId="22" xfId="1" applyNumberFormat="1" applyFont="1" applyFill="1" applyBorder="1" applyAlignment="1">
      <alignment horizontal="left"/>
    </xf>
    <xf numFmtId="0" fontId="24" fillId="0" borderId="22" xfId="0" applyFont="1" applyFill="1" applyBorder="1" applyAlignment="1"/>
    <xf numFmtId="168" fontId="24" fillId="0" borderId="22" xfId="0" applyNumberFormat="1" applyFont="1" applyFill="1" applyBorder="1" applyAlignment="1">
      <alignment horizontal="center"/>
    </xf>
    <xf numFmtId="0" fontId="29" fillId="0" borderId="20" xfId="0" applyFont="1" applyFill="1" applyBorder="1" applyAlignment="1">
      <alignment horizontal="left"/>
    </xf>
    <xf numFmtId="0" fontId="24" fillId="0" borderId="0" xfId="0" applyFont="1" applyBorder="1" applyAlignment="1">
      <alignment horizontal="right"/>
    </xf>
    <xf numFmtId="168" fontId="24" fillId="0" borderId="0" xfId="0" applyNumberFormat="1" applyFont="1" applyFill="1" applyBorder="1" applyAlignment="1">
      <alignment horizontal="center"/>
    </xf>
    <xf numFmtId="17" fontId="24" fillId="0" borderId="0" xfId="0" applyNumberFormat="1" applyFont="1" applyFill="1" applyAlignment="1"/>
    <xf numFmtId="0" fontId="32" fillId="0" borderId="0" xfId="0" applyFont="1"/>
    <xf numFmtId="0" fontId="33" fillId="0" borderId="0" xfId="0" applyFont="1" applyFill="1" applyBorder="1" applyAlignment="1">
      <alignment horizontal="left" vertical="center"/>
    </xf>
    <xf numFmtId="0" fontId="26" fillId="0" borderId="16" xfId="0" applyFont="1" applyFill="1" applyBorder="1" applyAlignment="1">
      <alignment horizontal="left" vertical="center"/>
    </xf>
    <xf numFmtId="166" fontId="24" fillId="0" borderId="16" xfId="0" applyNumberFormat="1" applyFont="1" applyFill="1" applyBorder="1" applyAlignment="1">
      <alignment vertical="center"/>
    </xf>
    <xf numFmtId="0" fontId="26" fillId="0" borderId="19" xfId="0" applyFont="1" applyFill="1" applyBorder="1" applyAlignment="1">
      <alignment horizontal="left" vertical="center"/>
    </xf>
    <xf numFmtId="165" fontId="24" fillId="0" borderId="19" xfId="1" applyNumberFormat="1" applyFont="1" applyFill="1" applyBorder="1" applyAlignment="1">
      <alignment vertical="center"/>
    </xf>
    <xf numFmtId="166" fontId="24" fillId="0" borderId="19" xfId="1" applyNumberFormat="1" applyFont="1" applyFill="1" applyBorder="1" applyAlignment="1">
      <alignment vertical="center"/>
    </xf>
    <xf numFmtId="0" fontId="25" fillId="0" borderId="20" xfId="0" applyFont="1" applyFill="1" applyBorder="1" applyAlignment="1">
      <alignment horizontal="left" vertical="center"/>
    </xf>
    <xf numFmtId="166" fontId="2" fillId="0" borderId="19" xfId="0" applyNumberFormat="1" applyFont="1" applyFill="1" applyBorder="1" applyAlignment="1">
      <alignment vertical="center"/>
    </xf>
    <xf numFmtId="0" fontId="25" fillId="0" borderId="22" xfId="0" applyFont="1" applyFill="1" applyBorder="1" applyAlignment="1">
      <alignment horizontal="left" vertical="center" wrapText="1"/>
    </xf>
    <xf numFmtId="166" fontId="23" fillId="0" borderId="22" xfId="0" applyNumberFormat="1" applyFont="1" applyFill="1" applyBorder="1" applyAlignment="1">
      <alignment vertical="center"/>
    </xf>
    <xf numFmtId="166" fontId="25" fillId="0" borderId="0" xfId="0" applyNumberFormat="1" applyFont="1" applyFill="1" applyBorder="1" applyAlignment="1">
      <alignment vertical="center"/>
    </xf>
    <xf numFmtId="0" fontId="26" fillId="0" borderId="17" xfId="0" applyFont="1" applyFill="1" applyBorder="1" applyAlignment="1">
      <alignment vertical="center"/>
    </xf>
    <xf numFmtId="0" fontId="26" fillId="0" borderId="20" xfId="0" applyFont="1" applyFill="1" applyBorder="1" applyAlignment="1">
      <alignment vertical="center"/>
    </xf>
    <xf numFmtId="0" fontId="26" fillId="0" borderId="24" xfId="0" applyFont="1" applyFill="1" applyBorder="1" applyAlignment="1">
      <alignment vertical="center"/>
    </xf>
    <xf numFmtId="165" fontId="27" fillId="0" borderId="25" xfId="1" applyNumberFormat="1" applyFont="1" applyFill="1" applyBorder="1" applyAlignment="1">
      <alignment vertical="center"/>
    </xf>
    <xf numFmtId="0" fontId="2" fillId="0" borderId="20" xfId="0" applyFont="1" applyFill="1" applyBorder="1" applyAlignment="1">
      <alignment vertical="center"/>
    </xf>
    <xf numFmtId="165" fontId="24" fillId="0" borderId="25" xfId="1" applyNumberFormat="1" applyFont="1" applyFill="1" applyBorder="1" applyAlignment="1">
      <alignment vertical="center"/>
    </xf>
    <xf numFmtId="0" fontId="25" fillId="0" borderId="26" xfId="0" applyFont="1" applyFill="1" applyBorder="1" applyAlignment="1">
      <alignment vertical="center"/>
    </xf>
    <xf numFmtId="0" fontId="29" fillId="0" borderId="0" xfId="0" applyFont="1" applyFill="1" applyAlignment="1">
      <alignment horizontal="left" vertical="center"/>
    </xf>
    <xf numFmtId="0" fontId="24" fillId="0" borderId="1" xfId="0" applyFont="1" applyFill="1" applyBorder="1" applyAlignment="1"/>
    <xf numFmtId="0" fontId="24" fillId="0" borderId="13" xfId="0" applyFont="1" applyFill="1" applyBorder="1" applyAlignment="1"/>
    <xf numFmtId="0" fontId="33" fillId="0" borderId="0" xfId="0" applyFont="1" applyFill="1" applyAlignment="1"/>
    <xf numFmtId="14" fontId="26" fillId="0" borderId="17" xfId="0" applyNumberFormat="1" applyFont="1" applyFill="1" applyBorder="1" applyAlignment="1">
      <alignment vertical="center"/>
    </xf>
    <xf numFmtId="165" fontId="24" fillId="0" borderId="19" xfId="1" applyNumberFormat="1" applyFont="1" applyFill="1" applyBorder="1" applyAlignment="1"/>
    <xf numFmtId="167" fontId="24" fillId="0" borderId="19" xfId="5" applyNumberFormat="1" applyFont="1" applyFill="1" applyBorder="1" applyAlignment="1"/>
    <xf numFmtId="166" fontId="24" fillId="0" borderId="19" xfId="0" applyNumberFormat="1" applyFont="1" applyFill="1" applyBorder="1" applyAlignment="1"/>
    <xf numFmtId="165" fontId="27" fillId="0" borderId="25" xfId="1" applyNumberFormat="1" applyFont="1" applyFill="1" applyBorder="1" applyAlignment="1"/>
    <xf numFmtId="167" fontId="27" fillId="0" borderId="25" xfId="5" applyNumberFormat="1" applyFont="1" applyFill="1" applyBorder="1" applyAlignment="1"/>
    <xf numFmtId="165" fontId="24" fillId="0" borderId="25" xfId="1" applyNumberFormat="1" applyFont="1" applyFill="1" applyBorder="1" applyAlignment="1"/>
    <xf numFmtId="166" fontId="24" fillId="0" borderId="25" xfId="0" applyNumberFormat="1" applyFont="1" applyFill="1" applyBorder="1" applyAlignment="1"/>
    <xf numFmtId="165" fontId="23" fillId="0" borderId="22" xfId="1" applyNumberFormat="1" applyFont="1" applyFill="1" applyBorder="1" applyAlignment="1"/>
    <xf numFmtId="166" fontId="23" fillId="0" borderId="27" xfId="0" applyNumberFormat="1" applyFont="1" applyFill="1" applyBorder="1" applyAlignment="1"/>
    <xf numFmtId="0" fontId="29" fillId="0" borderId="0" xfId="0" applyFont="1" applyFill="1" applyAlignment="1">
      <alignment vertical="center"/>
    </xf>
    <xf numFmtId="0" fontId="33" fillId="0" borderId="0" xfId="0" applyFont="1" applyFill="1" applyAlignment="1">
      <alignment vertical="center"/>
    </xf>
    <xf numFmtId="0" fontId="24" fillId="0" borderId="0" xfId="0" applyFont="1" applyFill="1" applyBorder="1" applyAlignment="1">
      <alignment vertical="center"/>
    </xf>
    <xf numFmtId="0" fontId="26" fillId="0" borderId="16" xfId="0" applyFont="1" applyFill="1" applyBorder="1" applyAlignment="1">
      <alignment vertical="center"/>
    </xf>
    <xf numFmtId="167" fontId="24" fillId="0" borderId="19" xfId="5" applyNumberFormat="1" applyFont="1" applyFill="1" applyBorder="1" applyAlignment="1">
      <alignment vertical="center"/>
    </xf>
    <xf numFmtId="0" fontId="26" fillId="0" borderId="19" xfId="0" applyFont="1" applyFill="1" applyBorder="1" applyAlignment="1">
      <alignment vertical="center"/>
    </xf>
    <xf numFmtId="0" fontId="26" fillId="0" borderId="25" xfId="0" applyFont="1" applyFill="1" applyBorder="1" applyAlignment="1">
      <alignment vertical="center"/>
    </xf>
    <xf numFmtId="167" fontId="27" fillId="0" borderId="25" xfId="5" applyNumberFormat="1" applyFont="1" applyFill="1" applyBorder="1" applyAlignment="1">
      <alignment vertical="center"/>
    </xf>
    <xf numFmtId="166" fontId="24" fillId="0" borderId="19" xfId="0" applyNumberFormat="1" applyFont="1" applyFill="1" applyBorder="1" applyAlignment="1">
      <alignment vertical="center"/>
    </xf>
    <xf numFmtId="0" fontId="2" fillId="0" borderId="19" xfId="0" applyFont="1" applyFill="1" applyBorder="1" applyAlignment="1">
      <alignment vertical="center"/>
    </xf>
    <xf numFmtId="0" fontId="25" fillId="0" borderId="27" xfId="0" applyFont="1" applyFill="1" applyBorder="1" applyAlignment="1">
      <alignment vertical="center"/>
    </xf>
    <xf numFmtId="167" fontId="23" fillId="0" borderId="27" xfId="5" applyNumberFormat="1" applyFont="1" applyFill="1" applyBorder="1" applyAlignment="1">
      <alignment vertical="center"/>
    </xf>
    <xf numFmtId="0" fontId="27" fillId="0" borderId="2" xfId="0" applyFont="1" applyFill="1" applyBorder="1" applyAlignment="1">
      <alignment horizontal="center" vertical="center" wrapText="1"/>
    </xf>
    <xf numFmtId="0" fontId="34" fillId="0" borderId="0" xfId="0" applyFont="1" applyFill="1" applyAlignment="1"/>
    <xf numFmtId="0" fontId="26" fillId="0" borderId="17" xfId="0" applyFont="1" applyFill="1" applyBorder="1" applyAlignment="1"/>
    <xf numFmtId="165" fontId="24" fillId="0" borderId="20" xfId="1" applyNumberFormat="1" applyFont="1" applyFill="1" applyBorder="1" applyAlignment="1"/>
    <xf numFmtId="166" fontId="24" fillId="0" borderId="16" xfId="1" applyNumberFormat="1" applyFont="1" applyFill="1" applyBorder="1" applyAlignment="1"/>
    <xf numFmtId="168" fontId="34" fillId="0" borderId="0" xfId="0" applyNumberFormat="1" applyFont="1" applyFill="1" applyAlignment="1">
      <alignment horizontal="right"/>
    </xf>
    <xf numFmtId="0" fontId="26" fillId="0" borderId="20" xfId="0" applyFont="1" applyFill="1" applyBorder="1" applyAlignment="1"/>
    <xf numFmtId="166" fontId="24" fillId="0" borderId="19" xfId="1" applyNumberFormat="1" applyFont="1" applyFill="1" applyBorder="1" applyAlignment="1"/>
    <xf numFmtId="0" fontId="26" fillId="0" borderId="19" xfId="0" applyFont="1" applyFill="1" applyBorder="1" applyAlignment="1"/>
    <xf numFmtId="0" fontId="23" fillId="0" borderId="27" xfId="0" applyFont="1" applyFill="1" applyBorder="1" applyAlignment="1"/>
    <xf numFmtId="165" fontId="23" fillId="0" borderId="27" xfId="1" applyNumberFormat="1" applyFont="1" applyFill="1" applyBorder="1" applyAlignment="1"/>
    <xf numFmtId="166" fontId="23" fillId="0" borderId="27" xfId="1" applyNumberFormat="1" applyFont="1" applyFill="1" applyBorder="1" applyAlignment="1"/>
    <xf numFmtId="0" fontId="29" fillId="0" borderId="0" xfId="0" applyFont="1" applyFill="1" applyAlignment="1"/>
    <xf numFmtId="168" fontId="24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26" fillId="0" borderId="16" xfId="0" applyFont="1" applyFill="1" applyBorder="1" applyAlignment="1">
      <alignment horizontal="center" vertical="center" wrapText="1"/>
    </xf>
    <xf numFmtId="0" fontId="26" fillId="0" borderId="12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vertical="center"/>
    </xf>
    <xf numFmtId="0" fontId="25" fillId="0" borderId="20" xfId="0" applyFont="1" applyFill="1" applyBorder="1" applyAlignment="1">
      <alignment vertical="center"/>
    </xf>
    <xf numFmtId="3" fontId="35" fillId="0" borderId="19" xfId="1" applyNumberFormat="1" applyFont="1" applyFill="1" applyBorder="1" applyAlignment="1" applyProtection="1">
      <alignment horizontal="center" vertical="center"/>
    </xf>
    <xf numFmtId="3" fontId="35" fillId="0" borderId="19" xfId="1" applyNumberFormat="1" applyFont="1" applyFill="1" applyBorder="1" applyAlignment="1">
      <alignment horizontal="center" vertical="center"/>
    </xf>
    <xf numFmtId="3" fontId="24" fillId="0" borderId="19" xfId="1" applyNumberFormat="1" applyFont="1" applyFill="1" applyBorder="1" applyAlignment="1">
      <alignment horizontal="center" vertical="center"/>
    </xf>
    <xf numFmtId="0" fontId="25" fillId="0" borderId="20" xfId="0" applyFont="1" applyFill="1" applyBorder="1" applyAlignment="1">
      <alignment horizontal="center" vertical="center"/>
    </xf>
    <xf numFmtId="3" fontId="24" fillId="0" borderId="19" xfId="1" applyNumberFormat="1" applyFont="1" applyFill="1" applyBorder="1" applyAlignment="1" applyProtection="1">
      <alignment horizontal="center" vertical="center"/>
      <protection locked="0"/>
    </xf>
    <xf numFmtId="3" fontId="23" fillId="0" borderId="19" xfId="1" applyNumberFormat="1" applyFont="1" applyFill="1" applyBorder="1" applyAlignment="1">
      <alignment horizontal="center" vertical="center"/>
    </xf>
    <xf numFmtId="0" fontId="26" fillId="0" borderId="20" xfId="0" applyFont="1" applyFill="1" applyBorder="1" applyAlignment="1">
      <alignment horizontal="center" vertical="center"/>
    </xf>
    <xf numFmtId="0" fontId="25" fillId="0" borderId="28" xfId="0" applyFont="1" applyFill="1" applyBorder="1" applyAlignment="1">
      <alignment horizontal="center" vertical="center"/>
    </xf>
    <xf numFmtId="3" fontId="35" fillId="0" borderId="29" xfId="1" applyNumberFormat="1" applyFont="1" applyFill="1" applyBorder="1" applyAlignment="1" applyProtection="1">
      <alignment horizontal="center" vertical="center"/>
    </xf>
    <xf numFmtId="3" fontId="35" fillId="0" borderId="29" xfId="1" applyNumberFormat="1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/>
    </xf>
    <xf numFmtId="3" fontId="23" fillId="0" borderId="2" xfId="1" applyNumberFormat="1" applyFont="1" applyFill="1" applyBorder="1" applyAlignment="1">
      <alignment horizontal="center" vertical="center"/>
    </xf>
    <xf numFmtId="168" fontId="24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24" fillId="0" borderId="19" xfId="0" applyNumberFormat="1" applyFont="1" applyFill="1" applyBorder="1" applyAlignment="1">
      <alignment vertical="center"/>
    </xf>
    <xf numFmtId="165" fontId="27" fillId="0" borderId="19" xfId="0" applyNumberFormat="1" applyFont="1" applyFill="1" applyBorder="1" applyAlignment="1">
      <alignment vertical="center"/>
    </xf>
    <xf numFmtId="166" fontId="27" fillId="0" borderId="25" xfId="1" applyNumberFormat="1" applyFont="1" applyFill="1" applyBorder="1" applyAlignment="1">
      <alignment vertical="center"/>
    </xf>
    <xf numFmtId="165" fontId="24" fillId="0" borderId="29" xfId="0" applyNumberFormat="1" applyFont="1" applyFill="1" applyBorder="1" applyAlignment="1">
      <alignment vertical="center"/>
    </xf>
    <xf numFmtId="166" fontId="24" fillId="0" borderId="25" xfId="1" applyNumberFormat="1" applyFont="1" applyFill="1" applyBorder="1" applyAlignment="1">
      <alignment vertical="center"/>
    </xf>
    <xf numFmtId="165" fontId="23" fillId="0" borderId="27" xfId="0" applyNumberFormat="1" applyFont="1" applyFill="1" applyBorder="1" applyAlignment="1">
      <alignment vertical="center"/>
    </xf>
    <xf numFmtId="166" fontId="23" fillId="0" borderId="27" xfId="1" applyNumberFormat="1" applyFont="1" applyFill="1" applyBorder="1" applyAlignment="1">
      <alignment vertical="center"/>
    </xf>
    <xf numFmtId="0" fontId="2" fillId="0" borderId="17" xfId="0" applyFont="1" applyFill="1" applyBorder="1" applyAlignment="1">
      <alignment vertical="center"/>
    </xf>
    <xf numFmtId="0" fontId="2" fillId="0" borderId="30" xfId="0" applyFont="1" applyFill="1" applyBorder="1" applyAlignment="1">
      <alignment vertical="center"/>
    </xf>
    <xf numFmtId="165" fontId="2" fillId="0" borderId="19" xfId="0" applyNumberFormat="1" applyFont="1" applyFill="1" applyBorder="1" applyAlignment="1">
      <alignment vertical="center"/>
    </xf>
    <xf numFmtId="0" fontId="2" fillId="0" borderId="31" xfId="0" applyFont="1" applyFill="1" applyBorder="1" applyAlignment="1">
      <alignment vertical="center"/>
    </xf>
    <xf numFmtId="0" fontId="36" fillId="0" borderId="0" xfId="0" applyFont="1" applyFill="1" applyAlignment="1">
      <alignment vertical="center"/>
    </xf>
    <xf numFmtId="165" fontId="24" fillId="0" borderId="0" xfId="0" applyNumberFormat="1" applyFont="1" applyFill="1" applyAlignment="1">
      <alignment vertical="center"/>
    </xf>
    <xf numFmtId="0" fontId="2" fillId="0" borderId="9" xfId="0" applyFont="1" applyFill="1" applyBorder="1" applyAlignment="1">
      <alignment vertical="center"/>
    </xf>
    <xf numFmtId="165" fontId="2" fillId="0" borderId="16" xfId="0" applyNumberFormat="1" applyFont="1" applyFill="1" applyBorder="1" applyAlignment="1">
      <alignment vertical="center"/>
    </xf>
    <xf numFmtId="166" fontId="2" fillId="0" borderId="16" xfId="0" applyNumberFormat="1" applyFont="1" applyFill="1" applyBorder="1" applyAlignment="1">
      <alignment vertical="center"/>
    </xf>
    <xf numFmtId="0" fontId="2" fillId="0" borderId="28" xfId="0" applyFont="1" applyFill="1" applyBorder="1" applyAlignment="1">
      <alignment vertical="center"/>
    </xf>
    <xf numFmtId="0" fontId="2" fillId="0" borderId="32" xfId="0" applyFont="1" applyFill="1" applyBorder="1" applyAlignment="1">
      <alignment vertical="center"/>
    </xf>
    <xf numFmtId="165" fontId="2" fillId="0" borderId="29" xfId="0" applyNumberFormat="1" applyFont="1" applyFill="1" applyBorder="1" applyAlignment="1">
      <alignment vertical="center"/>
    </xf>
    <xf numFmtId="166" fontId="2" fillId="0" borderId="29" xfId="0" applyNumberFormat="1" applyFont="1" applyFill="1" applyBorder="1" applyAlignment="1">
      <alignment vertical="center"/>
    </xf>
    <xf numFmtId="0" fontId="25" fillId="0" borderId="28" xfId="0" applyFont="1" applyFill="1" applyBorder="1" applyAlignment="1">
      <alignment vertical="center"/>
    </xf>
    <xf numFmtId="0" fontId="25" fillId="0" borderId="32" xfId="0" applyFont="1" applyFill="1" applyBorder="1" applyAlignment="1">
      <alignment vertical="center"/>
    </xf>
    <xf numFmtId="165" fontId="25" fillId="0" borderId="29" xfId="0" applyNumberFormat="1" applyFont="1" applyFill="1" applyBorder="1" applyAlignment="1">
      <alignment vertical="center"/>
    </xf>
    <xf numFmtId="166" fontId="25" fillId="0" borderId="29" xfId="0" applyNumberFormat="1" applyFont="1" applyFill="1" applyBorder="1" applyAlignment="1">
      <alignment vertical="center"/>
    </xf>
    <xf numFmtId="0" fontId="37" fillId="0" borderId="14" xfId="0" applyFont="1" applyBorder="1"/>
    <xf numFmtId="0" fontId="0" fillId="0" borderId="14" xfId="0" applyBorder="1"/>
    <xf numFmtId="0" fontId="37" fillId="0" borderId="0" xfId="0" applyFont="1"/>
    <xf numFmtId="0" fontId="10" fillId="0" borderId="0" xfId="0" applyFont="1" applyFill="1" applyBorder="1" applyAlignment="1">
      <alignment horizontal="left" vertical="center"/>
    </xf>
    <xf numFmtId="0" fontId="21" fillId="0" borderId="16" xfId="0" applyNumberFormat="1" applyFont="1" applyFill="1" applyBorder="1" applyAlignment="1">
      <alignment vertical="center"/>
    </xf>
    <xf numFmtId="0" fontId="2" fillId="0" borderId="20" xfId="0" applyNumberFormat="1" applyFont="1" applyFill="1" applyBorder="1" applyAlignment="1">
      <alignment vertical="center"/>
    </xf>
    <xf numFmtId="0" fontId="2" fillId="0" borderId="19" xfId="0" applyNumberFormat="1" applyFont="1" applyFill="1" applyBorder="1" applyAlignment="1">
      <alignment vertical="center"/>
    </xf>
    <xf numFmtId="0" fontId="2" fillId="0" borderId="33" xfId="0" applyNumberFormat="1" applyFont="1" applyFill="1" applyBorder="1" applyAlignment="1">
      <alignment vertical="center"/>
    </xf>
    <xf numFmtId="0" fontId="2" fillId="0" borderId="34" xfId="0" applyNumberFormat="1" applyFont="1" applyFill="1" applyBorder="1" applyAlignment="1">
      <alignment vertical="center"/>
    </xf>
    <xf numFmtId="165" fontId="2" fillId="0" borderId="33" xfId="0" applyNumberFormat="1" applyFont="1" applyFill="1" applyBorder="1" applyAlignment="1">
      <alignment vertical="center"/>
    </xf>
    <xf numFmtId="166" fontId="2" fillId="0" borderId="33" xfId="0" applyNumberFormat="1" applyFont="1" applyFill="1" applyBorder="1" applyAlignment="1">
      <alignment vertical="center"/>
    </xf>
    <xf numFmtId="0" fontId="2" fillId="0" borderId="0" xfId="0" applyNumberFormat="1" applyFont="1" applyFill="1" applyAlignment="1">
      <alignment vertical="center"/>
    </xf>
    <xf numFmtId="166" fontId="27" fillId="0" borderId="25" xfId="0" applyNumberFormat="1" applyFont="1" applyFill="1" applyBorder="1" applyAlignment="1">
      <alignment vertical="center"/>
    </xf>
    <xf numFmtId="166" fontId="24" fillId="0" borderId="25" xfId="0" applyNumberFormat="1" applyFont="1" applyFill="1" applyBorder="1" applyAlignment="1">
      <alignment vertical="center"/>
    </xf>
    <xf numFmtId="0" fontId="35" fillId="0" borderId="0" xfId="0" applyFont="1" applyFill="1" applyAlignment="1">
      <alignment vertical="center"/>
    </xf>
    <xf numFmtId="0" fontId="24" fillId="0" borderId="16" xfId="0" applyFont="1" applyFill="1" applyBorder="1" applyAlignment="1">
      <alignment vertical="center"/>
    </xf>
    <xf numFmtId="0" fontId="24" fillId="0" borderId="19" xfId="0" applyFont="1" applyFill="1" applyBorder="1" applyAlignment="1">
      <alignment vertical="center"/>
    </xf>
    <xf numFmtId="0" fontId="23" fillId="0" borderId="22" xfId="0" applyFont="1" applyFill="1" applyBorder="1" applyAlignment="1">
      <alignment vertical="center"/>
    </xf>
    <xf numFmtId="165" fontId="23" fillId="0" borderId="22" xfId="0" applyNumberFormat="1" applyFont="1" applyFill="1" applyBorder="1" applyAlignment="1">
      <alignment vertical="center"/>
    </xf>
    <xf numFmtId="0" fontId="24" fillId="0" borderId="2" xfId="0" applyFont="1" applyFill="1" applyBorder="1" applyAlignment="1">
      <alignment horizontal="center" vertical="center" wrapText="1"/>
    </xf>
    <xf numFmtId="0" fontId="24" fillId="0" borderId="19" xfId="0" applyFont="1" applyFill="1" applyBorder="1" applyAlignment="1">
      <alignment horizontal="center" vertical="center" wrapText="1"/>
    </xf>
    <xf numFmtId="17" fontId="26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9" xfId="5" applyNumberFormat="1" applyFont="1" applyFill="1" applyBorder="1" applyAlignment="1">
      <alignment horizontal="center" vertical="center"/>
    </xf>
    <xf numFmtId="17" fontId="26" fillId="0" borderId="19" xfId="0" quotePrefix="1" applyNumberFormat="1" applyFont="1" applyFill="1" applyBorder="1" applyAlignment="1">
      <alignment vertical="center"/>
    </xf>
    <xf numFmtId="3" fontId="2" fillId="0" borderId="19" xfId="0" applyNumberFormat="1" applyFont="1" applyFill="1" applyBorder="1" applyAlignment="1">
      <alignment horizontal="center" vertical="center"/>
    </xf>
    <xf numFmtId="17" fontId="26" fillId="0" borderId="22" xfId="0" quotePrefix="1" applyNumberFormat="1" applyFont="1" applyFill="1" applyBorder="1" applyAlignment="1">
      <alignment vertical="center"/>
    </xf>
    <xf numFmtId="3" fontId="2" fillId="0" borderId="22" xfId="0" applyNumberFormat="1" applyFont="1" applyFill="1" applyBorder="1" applyAlignment="1">
      <alignment horizontal="center" vertical="center"/>
    </xf>
    <xf numFmtId="167" fontId="2" fillId="0" borderId="22" xfId="5" applyNumberFormat="1" applyFont="1" applyFill="1" applyBorder="1" applyAlignment="1">
      <alignment horizontal="center" vertical="center"/>
    </xf>
    <xf numFmtId="0" fontId="28" fillId="0" borderId="0" xfId="0" applyFont="1" applyFill="1" applyAlignment="1">
      <alignment vertical="center"/>
    </xf>
    <xf numFmtId="0" fontId="28" fillId="0" borderId="0" xfId="0" applyFont="1" applyFill="1" applyBorder="1" applyAlignment="1">
      <alignment vertical="center"/>
    </xf>
    <xf numFmtId="0" fontId="2" fillId="0" borderId="0" xfId="0" applyFont="1"/>
    <xf numFmtId="0" fontId="34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13" xfId="0" applyFont="1" applyBorder="1"/>
    <xf numFmtId="0" fontId="38" fillId="0" borderId="9" xfId="0" applyFont="1" applyFill="1" applyBorder="1" applyAlignment="1">
      <alignment horizontal="right" vertical="center"/>
    </xf>
    <xf numFmtId="0" fontId="28" fillId="0" borderId="10" xfId="0" applyFont="1" applyFill="1" applyBorder="1" applyAlignment="1">
      <alignment horizontal="left" vertical="center"/>
    </xf>
    <xf numFmtId="0" fontId="28" fillId="0" borderId="1" xfId="0" applyFont="1" applyFill="1" applyBorder="1" applyAlignment="1">
      <alignment horizontal="left" vertical="center"/>
    </xf>
    <xf numFmtId="0" fontId="28" fillId="0" borderId="12" xfId="0" applyFont="1" applyFill="1" applyBorder="1" applyAlignment="1">
      <alignment horizontal="left" vertical="center"/>
    </xf>
    <xf numFmtId="0" fontId="28" fillId="0" borderId="13" xfId="0" applyFont="1" applyFill="1" applyBorder="1" applyAlignment="1">
      <alignment horizontal="left" vertical="center"/>
    </xf>
    <xf numFmtId="0" fontId="38" fillId="0" borderId="11" xfId="0" applyFont="1" applyFill="1" applyBorder="1" applyAlignment="1">
      <alignment horizontal="right" vertical="center"/>
    </xf>
    <xf numFmtId="0" fontId="28" fillId="0" borderId="17" xfId="0" applyFont="1" applyFill="1" applyBorder="1" applyAlignment="1">
      <alignment vertical="center" wrapText="1"/>
    </xf>
    <xf numFmtId="169" fontId="28" fillId="0" borderId="31" xfId="0" applyNumberFormat="1" applyFont="1" applyFill="1" applyBorder="1" applyAlignment="1">
      <alignment vertical="center"/>
    </xf>
    <xf numFmtId="3" fontId="28" fillId="0" borderId="19" xfId="0" applyNumberFormat="1" applyFont="1" applyFill="1" applyBorder="1" applyAlignment="1">
      <alignment horizontal="center" vertical="center"/>
    </xf>
    <xf numFmtId="9" fontId="28" fillId="0" borderId="19" xfId="5" applyNumberFormat="1" applyFont="1" applyFill="1" applyBorder="1" applyAlignment="1">
      <alignment horizontal="center" vertical="center"/>
    </xf>
    <xf numFmtId="0" fontId="28" fillId="0" borderId="2" xfId="0" applyFont="1" applyFill="1" applyBorder="1" applyAlignment="1">
      <alignment horizontal="center" vertical="center" wrapText="1"/>
    </xf>
    <xf numFmtId="0" fontId="28" fillId="0" borderId="17" xfId="0" applyFont="1" applyFill="1" applyBorder="1" applyAlignment="1">
      <alignment vertical="center"/>
    </xf>
    <xf numFmtId="169" fontId="28" fillId="0" borderId="30" xfId="0" applyNumberFormat="1" applyFont="1" applyFill="1" applyBorder="1" applyAlignment="1">
      <alignment vertical="center"/>
    </xf>
    <xf numFmtId="3" fontId="28" fillId="0" borderId="16" xfId="0" applyNumberFormat="1" applyFont="1" applyFill="1" applyBorder="1" applyAlignment="1">
      <alignment horizontal="center" vertical="center"/>
    </xf>
    <xf numFmtId="9" fontId="28" fillId="0" borderId="16" xfId="5" applyNumberFormat="1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vertical="center"/>
    </xf>
    <xf numFmtId="0" fontId="28" fillId="0" borderId="28" xfId="0" applyFont="1" applyFill="1" applyBorder="1" applyAlignment="1">
      <alignment vertical="center"/>
    </xf>
    <xf numFmtId="169" fontId="28" fillId="0" borderId="32" xfId="0" applyNumberFormat="1" applyFont="1" applyFill="1" applyBorder="1" applyAlignment="1">
      <alignment vertical="center"/>
    </xf>
    <xf numFmtId="3" fontId="28" fillId="0" borderId="29" xfId="0" applyNumberFormat="1" applyFont="1" applyFill="1" applyBorder="1" applyAlignment="1">
      <alignment horizontal="center" vertical="center"/>
    </xf>
    <xf numFmtId="9" fontId="28" fillId="0" borderId="29" xfId="5" applyNumberFormat="1" applyFont="1" applyFill="1" applyBorder="1" applyAlignment="1">
      <alignment horizontal="center" vertical="center"/>
    </xf>
    <xf numFmtId="169" fontId="25" fillId="0" borderId="32" xfId="0" applyNumberFormat="1" applyFont="1" applyFill="1" applyBorder="1" applyAlignment="1">
      <alignment vertical="center"/>
    </xf>
    <xf numFmtId="3" fontId="25" fillId="0" borderId="29" xfId="0" applyNumberFormat="1" applyFont="1" applyFill="1" applyBorder="1" applyAlignment="1">
      <alignment horizontal="center" vertical="center"/>
    </xf>
    <xf numFmtId="9" fontId="25" fillId="0" borderId="29" xfId="5" applyNumberFormat="1" applyFont="1" applyFill="1" applyBorder="1" applyAlignment="1">
      <alignment horizontal="center" vertical="center"/>
    </xf>
    <xf numFmtId="0" fontId="39" fillId="0" borderId="14" xfId="0" applyFont="1" applyBorder="1"/>
    <xf numFmtId="0" fontId="23" fillId="0" borderId="0" xfId="0" applyFont="1" applyFill="1" applyBorder="1" applyAlignment="1">
      <alignment vertical="center"/>
    </xf>
    <xf numFmtId="165" fontId="23" fillId="0" borderId="0" xfId="0" applyNumberFormat="1" applyFont="1" applyFill="1" applyBorder="1" applyAlignment="1">
      <alignment vertical="center"/>
    </xf>
    <xf numFmtId="166" fontId="23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3" fontId="2" fillId="0" borderId="20" xfId="0" applyNumberFormat="1" applyFont="1" applyFill="1" applyBorder="1" applyAlignment="1">
      <alignment horizontal="center" vertical="center"/>
    </xf>
    <xf numFmtId="167" fontId="2" fillId="0" borderId="20" xfId="5" applyNumberFormat="1" applyFont="1" applyFill="1" applyBorder="1" applyAlignment="1">
      <alignment horizontal="center" vertical="center"/>
    </xf>
    <xf numFmtId="0" fontId="24" fillId="0" borderId="20" xfId="0" applyFont="1" applyFill="1" applyBorder="1" applyAlignment="1">
      <alignment vertical="center"/>
    </xf>
    <xf numFmtId="0" fontId="2" fillId="0" borderId="10" xfId="0" applyFont="1" applyFill="1" applyBorder="1" applyAlignment="1">
      <alignment horizontal="center" vertical="center"/>
    </xf>
    <xf numFmtId="0" fontId="28" fillId="0" borderId="0" xfId="0" applyFont="1" applyFill="1" applyAlignment="1">
      <alignment horizontal="left"/>
    </xf>
    <xf numFmtId="0" fontId="28" fillId="0" borderId="0" xfId="0" applyFont="1" applyFill="1" applyAlignment="1">
      <alignment horizontal="center" vertical="center"/>
    </xf>
    <xf numFmtId="0" fontId="2" fillId="0" borderId="28" xfId="0" applyNumberFormat="1" applyFont="1" applyFill="1" applyBorder="1" applyAlignment="1">
      <alignment vertical="center"/>
    </xf>
    <xf numFmtId="0" fontId="2" fillId="0" borderId="29" xfId="0" applyNumberFormat="1" applyFont="1" applyFill="1" applyBorder="1" applyAlignment="1">
      <alignment vertical="center"/>
    </xf>
    <xf numFmtId="0" fontId="2" fillId="0" borderId="17" xfId="0" applyNumberFormat="1" applyFont="1" applyFill="1" applyBorder="1" applyAlignment="1">
      <alignment vertical="center"/>
    </xf>
    <xf numFmtId="0" fontId="2" fillId="0" borderId="16" xfId="0" applyNumberFormat="1" applyFont="1" applyFill="1" applyBorder="1" applyAlignment="1">
      <alignment vertical="center"/>
    </xf>
    <xf numFmtId="165" fontId="25" fillId="0" borderId="19" xfId="0" applyNumberFormat="1" applyFont="1" applyFill="1" applyBorder="1" applyAlignment="1">
      <alignment vertical="center"/>
    </xf>
    <xf numFmtId="166" fontId="25" fillId="0" borderId="19" xfId="0" applyNumberFormat="1" applyFont="1" applyFill="1" applyBorder="1" applyAlignment="1">
      <alignment vertical="center"/>
    </xf>
    <xf numFmtId="0" fontId="25" fillId="0" borderId="20" xfId="0" applyNumberFormat="1" applyFont="1" applyFill="1" applyBorder="1" applyAlignment="1">
      <alignment vertical="center"/>
    </xf>
    <xf numFmtId="0" fontId="25" fillId="0" borderId="19" xfId="0" applyNumberFormat="1" applyFont="1" applyFill="1" applyBorder="1" applyAlignment="1">
      <alignment vertical="center"/>
    </xf>
    <xf numFmtId="0" fontId="25" fillId="0" borderId="35" xfId="0" applyNumberFormat="1" applyFont="1" applyFill="1" applyBorder="1" applyAlignment="1">
      <alignment vertical="center"/>
    </xf>
    <xf numFmtId="0" fontId="25" fillId="0" borderId="36" xfId="0" applyNumberFormat="1" applyFont="1" applyFill="1" applyBorder="1" applyAlignment="1">
      <alignment vertical="center"/>
    </xf>
    <xf numFmtId="165" fontId="25" fillId="0" borderId="36" xfId="0" applyNumberFormat="1" applyFont="1" applyFill="1" applyBorder="1" applyAlignment="1">
      <alignment vertical="center"/>
    </xf>
    <xf numFmtId="166" fontId="25" fillId="0" borderId="36" xfId="0" applyNumberFormat="1" applyFont="1" applyFill="1" applyBorder="1" applyAlignment="1">
      <alignment vertical="center"/>
    </xf>
    <xf numFmtId="0" fontId="40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left"/>
    </xf>
    <xf numFmtId="0" fontId="24" fillId="0" borderId="22" xfId="0" applyFont="1" applyBorder="1" applyAlignment="1">
      <alignment horizontal="right"/>
    </xf>
    <xf numFmtId="170" fontId="24" fillId="0" borderId="20" xfId="0" applyNumberFormat="1" applyFont="1" applyFill="1" applyBorder="1" applyAlignment="1"/>
    <xf numFmtId="170" fontId="24" fillId="0" borderId="19" xfId="0" applyNumberFormat="1" applyFont="1" applyFill="1" applyBorder="1" applyAlignment="1"/>
    <xf numFmtId="170" fontId="24" fillId="0" borderId="22" xfId="0" applyNumberFormat="1" applyFont="1" applyFill="1" applyBorder="1" applyAlignment="1"/>
    <xf numFmtId="3" fontId="0" fillId="0" borderId="0" xfId="0" applyNumberFormat="1"/>
    <xf numFmtId="0" fontId="2" fillId="0" borderId="0" xfId="0" applyFont="1" applyFill="1" applyBorder="1" applyAlignment="1"/>
    <xf numFmtId="0" fontId="26" fillId="0" borderId="20" xfId="0" applyNumberFormat="1" applyFont="1" applyFill="1" applyBorder="1" applyAlignment="1">
      <alignment horizontal="center" vertical="center"/>
    </xf>
    <xf numFmtId="0" fontId="26" fillId="0" borderId="20" xfId="0" applyNumberFormat="1" applyFont="1" applyFill="1" applyBorder="1" applyAlignment="1">
      <alignment vertical="center"/>
    </xf>
    <xf numFmtId="0" fontId="21" fillId="0" borderId="20" xfId="0" applyNumberFormat="1" applyFont="1" applyFill="1" applyBorder="1" applyAlignment="1">
      <alignment vertical="center"/>
    </xf>
    <xf numFmtId="0" fontId="2" fillId="0" borderId="37" xfId="0" applyNumberFormat="1" applyFont="1" applyFill="1" applyBorder="1" applyAlignment="1">
      <alignment vertical="center"/>
    </xf>
    <xf numFmtId="0" fontId="25" fillId="0" borderId="28" xfId="0" applyNumberFormat="1" applyFont="1" applyFill="1" applyBorder="1" applyAlignment="1">
      <alignment vertical="center"/>
    </xf>
    <xf numFmtId="0" fontId="25" fillId="0" borderId="29" xfId="0" applyNumberFormat="1" applyFont="1" applyFill="1" applyBorder="1" applyAlignment="1">
      <alignment vertical="center"/>
    </xf>
    <xf numFmtId="0" fontId="26" fillId="0" borderId="34" xfId="0" applyNumberFormat="1" applyFont="1" applyFill="1" applyBorder="1" applyAlignment="1">
      <alignment horizontal="center" vertical="center"/>
    </xf>
    <xf numFmtId="0" fontId="7" fillId="0" borderId="53" xfId="3" applyFont="1" applyFill="1" applyBorder="1" applyAlignment="1">
      <alignment horizontal="center" vertical="center"/>
    </xf>
    <xf numFmtId="0" fontId="7" fillId="0" borderId="53" xfId="0" applyFont="1" applyFill="1" applyBorder="1" applyAlignment="1">
      <alignment horizontal="left" vertical="center"/>
    </xf>
    <xf numFmtId="0" fontId="7" fillId="0" borderId="53" xfId="3" applyFont="1" applyFill="1" applyBorder="1" applyAlignment="1">
      <alignment horizontal="left" vertical="center"/>
    </xf>
    <xf numFmtId="0" fontId="7" fillId="0" borderId="53" xfId="0" applyFont="1" applyFill="1" applyBorder="1" applyAlignment="1">
      <alignment vertical="center"/>
    </xf>
    <xf numFmtId="0" fontId="0" fillId="0" borderId="53" xfId="0" applyFill="1" applyBorder="1"/>
    <xf numFmtId="0" fontId="0" fillId="0" borderId="53" xfId="0" applyBorder="1"/>
    <xf numFmtId="0" fontId="7" fillId="0" borderId="0" xfId="3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0" fillId="0" borderId="0" xfId="0" applyFill="1" applyBorder="1"/>
    <xf numFmtId="0" fontId="0" fillId="0" borderId="0" xfId="0" applyBorder="1"/>
    <xf numFmtId="0" fontId="7" fillId="0" borderId="0" xfId="3" applyFont="1" applyFill="1" applyBorder="1" applyAlignment="1">
      <alignment horizontal="left" vertical="center"/>
    </xf>
    <xf numFmtId="0" fontId="24" fillId="0" borderId="0" xfId="2" applyFont="1" applyFill="1" applyAlignment="1">
      <alignment vertical="center"/>
    </xf>
    <xf numFmtId="0" fontId="10" fillId="0" borderId="0" xfId="2" applyFont="1" applyFill="1" applyAlignment="1">
      <alignment horizontal="left" vertical="center"/>
    </xf>
    <xf numFmtId="0" fontId="24" fillId="0" borderId="0" xfId="2" applyFont="1" applyFill="1" applyAlignment="1"/>
    <xf numFmtId="0" fontId="42" fillId="0" borderId="0" xfId="2"/>
    <xf numFmtId="0" fontId="28" fillId="3" borderId="0" xfId="2" applyFont="1" applyFill="1" applyAlignment="1" applyProtection="1">
      <alignment horizontal="left" vertical="center"/>
    </xf>
    <xf numFmtId="0" fontId="23" fillId="0" borderId="9" xfId="2" applyFont="1" applyFill="1" applyBorder="1" applyAlignment="1">
      <alignment horizontal="right" vertical="center"/>
    </xf>
    <xf numFmtId="0" fontId="24" fillId="0" borderId="10" xfId="2" applyFont="1" applyFill="1" applyBorder="1" applyAlignment="1">
      <alignment horizontal="left" vertical="center"/>
    </xf>
    <xf numFmtId="0" fontId="24" fillId="0" borderId="1" xfId="2" applyFont="1" applyFill="1" applyBorder="1" applyAlignment="1">
      <alignment horizontal="left" vertical="center"/>
    </xf>
    <xf numFmtId="0" fontId="23" fillId="0" borderId="11" xfId="2" applyFont="1" applyFill="1" applyBorder="1" applyAlignment="1">
      <alignment horizontal="right" vertical="center"/>
    </xf>
    <xf numFmtId="0" fontId="24" fillId="0" borderId="12" xfId="2" applyFont="1" applyFill="1" applyBorder="1" applyAlignment="1">
      <alignment horizontal="left" vertical="center"/>
    </xf>
    <xf numFmtId="0" fontId="24" fillId="0" borderId="13" xfId="2" applyFont="1" applyFill="1" applyBorder="1" applyAlignment="1">
      <alignment horizontal="left" vertical="center"/>
    </xf>
    <xf numFmtId="0" fontId="23" fillId="0" borderId="0" xfId="2" applyFont="1" applyFill="1" applyBorder="1" applyAlignment="1">
      <alignment horizontal="right" vertical="center"/>
    </xf>
    <xf numFmtId="0" fontId="24" fillId="0" borderId="0" xfId="2" applyFont="1" applyFill="1" applyBorder="1" applyAlignment="1">
      <alignment horizontal="left" vertical="center"/>
    </xf>
    <xf numFmtId="0" fontId="35" fillId="0" borderId="16" xfId="2" applyFont="1" applyBorder="1" applyAlignment="1">
      <alignment horizontal="center"/>
    </xf>
    <xf numFmtId="0" fontId="35" fillId="0" borderId="17" xfId="2" applyFont="1" applyBorder="1" applyAlignment="1">
      <alignment horizontal="center"/>
    </xf>
    <xf numFmtId="0" fontId="35" fillId="0" borderId="16" xfId="2" applyFont="1" applyBorder="1" applyAlignment="1">
      <alignment horizontal="center" wrapText="1"/>
    </xf>
    <xf numFmtId="9" fontId="8" fillId="0" borderId="16" xfId="6" applyFont="1" applyBorder="1" applyAlignment="1">
      <alignment horizontal="center"/>
    </xf>
    <xf numFmtId="0" fontId="2" fillId="0" borderId="22" xfId="2" applyFont="1" applyBorder="1"/>
    <xf numFmtId="0" fontId="33" fillId="0" borderId="2" xfId="2" applyFont="1" applyBorder="1" applyAlignment="1">
      <alignment horizontal="center"/>
    </xf>
    <xf numFmtId="0" fontId="2" fillId="0" borderId="10" xfId="2" applyFont="1" applyBorder="1"/>
    <xf numFmtId="9" fontId="2" fillId="0" borderId="22" xfId="6" applyFont="1" applyBorder="1" applyAlignment="1">
      <alignment horizontal="center"/>
    </xf>
    <xf numFmtId="14" fontId="24" fillId="0" borderId="19" xfId="2" applyNumberFormat="1" applyFont="1" applyBorder="1" applyAlignment="1">
      <alignment horizontal="right"/>
    </xf>
    <xf numFmtId="0" fontId="24" fillId="0" borderId="19" xfId="2" applyFont="1" applyBorder="1"/>
    <xf numFmtId="0" fontId="24" fillId="0" borderId="19" xfId="2" applyFont="1" applyFill="1" applyBorder="1" applyAlignment="1">
      <alignment horizontal="right"/>
    </xf>
    <xf numFmtId="3" fontId="24" fillId="0" borderId="19" xfId="2" applyNumberFormat="1" applyFont="1" applyBorder="1" applyAlignment="1">
      <alignment horizontal="right"/>
    </xf>
    <xf numFmtId="3" fontId="24" fillId="0" borderId="20" xfId="2" applyNumberFormat="1" applyFont="1" applyBorder="1" applyAlignment="1">
      <alignment horizontal="right"/>
    </xf>
    <xf numFmtId="168" fontId="2" fillId="0" borderId="16" xfId="2" applyNumberFormat="1" applyFont="1" applyBorder="1" applyAlignment="1">
      <alignment horizontal="right"/>
    </xf>
    <xf numFmtId="168" fontId="2" fillId="0" borderId="19" xfId="2" applyNumberFormat="1" applyFont="1" applyBorder="1" applyAlignment="1">
      <alignment horizontal="right"/>
    </xf>
    <xf numFmtId="0" fontId="24" fillId="0" borderId="19" xfId="2" applyFont="1" applyBorder="1" applyAlignment="1">
      <alignment horizontal="right"/>
    </xf>
    <xf numFmtId="14" fontId="24" fillId="0" borderId="22" xfId="2" applyNumberFormat="1" applyFont="1" applyBorder="1"/>
    <xf numFmtId="0" fontId="24" fillId="0" borderId="22" xfId="2" applyFont="1" applyBorder="1"/>
    <xf numFmtId="0" fontId="24" fillId="0" borderId="22" xfId="2" applyFont="1" applyBorder="1" applyAlignment="1">
      <alignment horizontal="right"/>
    </xf>
    <xf numFmtId="3" fontId="24" fillId="0" borderId="22" xfId="2" applyNumberFormat="1" applyFont="1" applyBorder="1" applyAlignment="1">
      <alignment horizontal="right"/>
    </xf>
    <xf numFmtId="3" fontId="24" fillId="0" borderId="10" xfId="2" applyNumberFormat="1" applyFont="1" applyBorder="1" applyAlignment="1">
      <alignment horizontal="right"/>
    </xf>
    <xf numFmtId="168" fontId="2" fillId="0" borderId="22" xfId="2" applyNumberFormat="1" applyFont="1" applyBorder="1" applyAlignment="1">
      <alignment horizontal="right"/>
    </xf>
    <xf numFmtId="14" fontId="24" fillId="0" borderId="0" xfId="2" applyNumberFormat="1" applyFont="1" applyBorder="1"/>
    <xf numFmtId="0" fontId="24" fillId="0" borderId="0" xfId="2" applyFont="1" applyBorder="1"/>
    <xf numFmtId="0" fontId="24" fillId="0" borderId="0" xfId="2" applyFont="1" applyBorder="1" applyAlignment="1">
      <alignment horizontal="right"/>
    </xf>
    <xf numFmtId="3" fontId="24" fillId="0" borderId="0" xfId="2" applyNumberFormat="1" applyFont="1" applyBorder="1" applyAlignment="1">
      <alignment horizontal="right"/>
    </xf>
    <xf numFmtId="168" fontId="2" fillId="0" borderId="0" xfId="2" applyNumberFormat="1" applyFont="1" applyBorder="1" applyAlignment="1">
      <alignment horizontal="right"/>
    </xf>
    <xf numFmtId="0" fontId="42" fillId="0" borderId="0" xfId="2" applyBorder="1"/>
    <xf numFmtId="0" fontId="42" fillId="0" borderId="1" xfId="2" applyBorder="1"/>
    <xf numFmtId="0" fontId="42" fillId="0" borderId="13" xfId="2" applyBorder="1"/>
    <xf numFmtId="0" fontId="35" fillId="0" borderId="0" xfId="2" applyFont="1" applyFill="1" applyAlignment="1">
      <alignment vertical="center"/>
    </xf>
    <xf numFmtId="0" fontId="25" fillId="0" borderId="9" xfId="2" applyFont="1" applyFill="1" applyBorder="1" applyAlignment="1">
      <alignment horizontal="right" vertical="center"/>
    </xf>
    <xf numFmtId="0" fontId="2" fillId="0" borderId="10" xfId="2" applyFont="1" applyFill="1" applyBorder="1" applyAlignment="1">
      <alignment horizontal="left" vertical="center"/>
    </xf>
    <xf numFmtId="0" fontId="2" fillId="0" borderId="1" xfId="2" applyFont="1" applyFill="1" applyBorder="1" applyAlignment="1">
      <alignment horizontal="left" vertical="center"/>
    </xf>
    <xf numFmtId="0" fontId="2" fillId="0" borderId="12" xfId="2" applyFont="1" applyFill="1" applyBorder="1" applyAlignment="1">
      <alignment horizontal="left" vertical="center"/>
    </xf>
    <xf numFmtId="0" fontId="2" fillId="0" borderId="13" xfId="2" applyFont="1" applyFill="1" applyBorder="1" applyAlignment="1">
      <alignment horizontal="left" vertical="center"/>
    </xf>
    <xf numFmtId="0" fontId="25" fillId="0" borderId="11" xfId="2" applyFont="1" applyFill="1" applyBorder="1" applyAlignment="1">
      <alignment horizontal="right" vertical="center"/>
    </xf>
    <xf numFmtId="0" fontId="2" fillId="0" borderId="38" xfId="2" applyFont="1" applyBorder="1" applyAlignment="1">
      <alignment horizontal="center" vertical="center" wrapText="1"/>
    </xf>
    <xf numFmtId="0" fontId="2" fillId="0" borderId="39" xfId="2" applyFont="1" applyBorder="1" applyAlignment="1">
      <alignment horizontal="center" vertical="center" wrapText="1"/>
    </xf>
    <xf numFmtId="0" fontId="2" fillId="0" borderId="40" xfId="2" applyFont="1" applyBorder="1" applyAlignment="1">
      <alignment horizontal="center" vertical="center" wrapText="1"/>
    </xf>
    <xf numFmtId="0" fontId="21" fillId="4" borderId="41" xfId="2" applyFont="1" applyFill="1" applyBorder="1" applyAlignment="1">
      <alignment horizontal="center" vertical="center" wrapText="1"/>
    </xf>
    <xf numFmtId="0" fontId="21" fillId="4" borderId="39" xfId="2" applyFont="1" applyFill="1" applyBorder="1" applyAlignment="1">
      <alignment horizontal="center" vertical="center" wrapText="1"/>
    </xf>
    <xf numFmtId="0" fontId="26" fillId="0" borderId="40" xfId="2" applyFont="1" applyBorder="1" applyAlignment="1">
      <alignment horizontal="center" vertical="center" wrapText="1"/>
    </xf>
    <xf numFmtId="0" fontId="26" fillId="5" borderId="41" xfId="2" applyFont="1" applyFill="1" applyBorder="1" applyAlignment="1">
      <alignment horizontal="center" vertical="center" wrapText="1"/>
    </xf>
    <xf numFmtId="0" fontId="21" fillId="4" borderId="40" xfId="2" applyFont="1" applyFill="1" applyBorder="1" applyAlignment="1">
      <alignment horizontal="center" vertical="center" wrapText="1"/>
    </xf>
    <xf numFmtId="17" fontId="2" fillId="0" borderId="42" xfId="2" applyNumberFormat="1" applyFont="1" applyBorder="1" applyAlignment="1">
      <alignment horizontal="right"/>
    </xf>
    <xf numFmtId="3" fontId="2" fillId="0" borderId="42" xfId="2" applyNumberFormat="1" applyFont="1" applyBorder="1" applyAlignment="1">
      <alignment horizontal="center"/>
    </xf>
    <xf numFmtId="3" fontId="2" fillId="0" borderId="43" xfId="2" applyNumberFormat="1" applyFont="1" applyBorder="1" applyAlignment="1">
      <alignment horizontal="center"/>
    </xf>
    <xf numFmtId="3" fontId="2" fillId="4" borderId="0" xfId="2" applyNumberFormat="1" applyFont="1" applyFill="1" applyAlignment="1">
      <alignment horizontal="center"/>
    </xf>
    <xf numFmtId="0" fontId="2" fillId="4" borderId="43" xfId="2" applyFont="1" applyFill="1" applyBorder="1" applyAlignment="1">
      <alignment horizontal="center"/>
    </xf>
    <xf numFmtId="3" fontId="2" fillId="0" borderId="0" xfId="2" applyNumberFormat="1" applyFont="1" applyAlignment="1">
      <alignment horizontal="center"/>
    </xf>
    <xf numFmtId="168" fontId="26" fillId="0" borderId="43" xfId="2" applyNumberFormat="1" applyFont="1" applyBorder="1" applyAlignment="1">
      <alignment horizontal="center"/>
    </xf>
    <xf numFmtId="0" fontId="26" fillId="5" borderId="0" xfId="2" applyFont="1" applyFill="1" applyAlignment="1">
      <alignment horizontal="center"/>
    </xf>
    <xf numFmtId="0" fontId="28" fillId="0" borderId="42" xfId="2" applyFont="1" applyBorder="1" applyAlignment="1">
      <alignment horizontal="center"/>
    </xf>
    <xf numFmtId="0" fontId="28" fillId="4" borderId="43" xfId="2" applyFont="1" applyFill="1" applyBorder="1" applyAlignment="1">
      <alignment horizontal="center"/>
    </xf>
    <xf numFmtId="0" fontId="28" fillId="4" borderId="0" xfId="2" applyFont="1" applyFill="1" applyAlignment="1">
      <alignment horizontal="center"/>
    </xf>
    <xf numFmtId="3" fontId="28" fillId="0" borderId="44" xfId="2" applyNumberFormat="1" applyFont="1" applyBorder="1" applyAlignment="1">
      <alignment horizontal="center"/>
    </xf>
    <xf numFmtId="3" fontId="2" fillId="0" borderId="44" xfId="2" applyNumberFormat="1" applyFont="1" applyBorder="1" applyAlignment="1">
      <alignment horizontal="center"/>
    </xf>
    <xf numFmtId="17" fontId="2" fillId="0" borderId="45" xfId="2" applyNumberFormat="1" applyFont="1" applyBorder="1" applyAlignment="1">
      <alignment horizontal="right"/>
    </xf>
    <xf numFmtId="3" fontId="2" fillId="0" borderId="46" xfId="2" applyNumberFormat="1" applyFont="1" applyBorder="1" applyAlignment="1">
      <alignment horizontal="center"/>
    </xf>
    <xf numFmtId="3" fontId="2" fillId="0" borderId="47" xfId="2" applyNumberFormat="1" applyFont="1" applyBorder="1" applyAlignment="1">
      <alignment horizontal="center"/>
    </xf>
    <xf numFmtId="3" fontId="2" fillId="4" borderId="48" xfId="2" applyNumberFormat="1" applyFont="1" applyFill="1" applyBorder="1" applyAlignment="1">
      <alignment horizontal="center"/>
    </xf>
    <xf numFmtId="0" fontId="2" fillId="4" borderId="46" xfId="2" applyFont="1" applyFill="1" applyBorder="1" applyAlignment="1">
      <alignment horizontal="center"/>
    </xf>
    <xf numFmtId="3" fontId="2" fillId="0" borderId="48" xfId="2" applyNumberFormat="1" applyFont="1" applyBorder="1" applyAlignment="1">
      <alignment horizontal="center"/>
    </xf>
    <xf numFmtId="168" fontId="26" fillId="0" borderId="46" xfId="2" applyNumberFormat="1" applyFont="1" applyBorder="1" applyAlignment="1">
      <alignment horizontal="center"/>
    </xf>
    <xf numFmtId="0" fontId="26" fillId="5" borderId="48" xfId="2" applyFont="1" applyFill="1" applyBorder="1" applyAlignment="1">
      <alignment horizontal="center"/>
    </xf>
    <xf numFmtId="0" fontId="28" fillId="0" borderId="45" xfId="2" applyFont="1" applyBorder="1" applyAlignment="1">
      <alignment horizontal="center"/>
    </xf>
    <xf numFmtId="0" fontId="28" fillId="4" borderId="46" xfId="2" applyFont="1" applyFill="1" applyBorder="1" applyAlignment="1">
      <alignment horizontal="center"/>
    </xf>
    <xf numFmtId="0" fontId="28" fillId="4" borderId="48" xfId="2" applyFont="1" applyFill="1" applyBorder="1" applyAlignment="1">
      <alignment horizontal="center"/>
    </xf>
    <xf numFmtId="3" fontId="28" fillId="0" borderId="47" xfId="2" applyNumberFormat="1" applyFont="1" applyBorder="1" applyAlignment="1">
      <alignment horizontal="center"/>
    </xf>
    <xf numFmtId="0" fontId="24" fillId="0" borderId="0" xfId="2" applyFont="1" applyFill="1" applyBorder="1" applyAlignment="1">
      <alignment vertical="center"/>
    </xf>
    <xf numFmtId="0" fontId="23" fillId="0" borderId="11" xfId="2" quotePrefix="1" applyFont="1" applyFill="1" applyBorder="1" applyAlignment="1">
      <alignment horizontal="right" vertical="center"/>
    </xf>
    <xf numFmtId="0" fontId="33" fillId="0" borderId="0" xfId="2" applyFont="1" applyFill="1" applyAlignment="1"/>
    <xf numFmtId="0" fontId="24" fillId="0" borderId="0" xfId="2" applyFont="1" applyFill="1" applyBorder="1" applyAlignment="1"/>
    <xf numFmtId="0" fontId="43" fillId="0" borderId="2" xfId="2" applyFont="1" applyBorder="1" applyAlignment="1">
      <alignment horizontal="center" vertical="center" wrapText="1"/>
    </xf>
    <xf numFmtId="0" fontId="44" fillId="3" borderId="2" xfId="2" applyFont="1" applyFill="1" applyBorder="1" applyAlignment="1" applyProtection="1">
      <alignment horizontal="center" vertical="center" wrapText="1"/>
    </xf>
    <xf numFmtId="0" fontId="33" fillId="0" borderId="0" xfId="2" applyFont="1" applyFill="1" applyBorder="1" applyAlignment="1">
      <alignment horizontal="center" vertical="center"/>
    </xf>
    <xf numFmtId="0" fontId="33" fillId="0" borderId="20" xfId="2" applyFont="1" applyFill="1" applyBorder="1" applyAlignment="1">
      <alignment horizontal="left" vertical="center"/>
    </xf>
    <xf numFmtId="171" fontId="28" fillId="0" borderId="0" xfId="4" applyNumberFormat="1" applyFont="1" applyFill="1" applyBorder="1" applyAlignment="1" applyProtection="1">
      <alignment horizontal="left" vertical="center"/>
      <protection hidden="1"/>
    </xf>
    <xf numFmtId="167" fontId="33" fillId="0" borderId="31" xfId="6" applyNumberFormat="1" applyFont="1" applyFill="1" applyBorder="1" applyAlignment="1">
      <alignment horizontal="center" vertical="center"/>
    </xf>
    <xf numFmtId="0" fontId="31" fillId="0" borderId="0" xfId="2" applyFont="1"/>
    <xf numFmtId="0" fontId="33" fillId="6" borderId="20" xfId="2" applyFont="1" applyFill="1" applyBorder="1" applyAlignment="1">
      <alignment horizontal="left" vertical="center"/>
    </xf>
    <xf numFmtId="171" fontId="28" fillId="6" borderId="0" xfId="4" applyNumberFormat="1" applyFont="1" applyFill="1" applyBorder="1" applyAlignment="1" applyProtection="1">
      <alignment horizontal="left" vertical="center"/>
      <protection hidden="1"/>
    </xf>
    <xf numFmtId="0" fontId="33" fillId="6" borderId="0" xfId="2" applyFont="1" applyFill="1" applyBorder="1" applyAlignment="1">
      <alignment horizontal="center" vertical="center"/>
    </xf>
    <xf numFmtId="167" fontId="33" fillId="6" borderId="31" xfId="6" applyNumberFormat="1" applyFont="1" applyFill="1" applyBorder="1" applyAlignment="1">
      <alignment horizontal="center" vertical="center"/>
    </xf>
    <xf numFmtId="0" fontId="16" fillId="0" borderId="14" xfId="2" applyFont="1" applyBorder="1"/>
    <xf numFmtId="0" fontId="42" fillId="0" borderId="14" xfId="2" applyBorder="1"/>
    <xf numFmtId="0" fontId="45" fillId="0" borderId="0" xfId="2" applyFont="1"/>
    <xf numFmtId="167" fontId="15" fillId="0" borderId="49" xfId="5" applyNumberFormat="1" applyFont="1" applyBorder="1" applyAlignment="1">
      <alignment horizontal="center" vertical="center"/>
    </xf>
    <xf numFmtId="0" fontId="2" fillId="0" borderId="0" xfId="3" applyFont="1" applyFill="1" applyBorder="1" applyAlignment="1">
      <alignment horizontal="centerContinuous"/>
    </xf>
    <xf numFmtId="0" fontId="2" fillId="0" borderId="1" xfId="0" applyFont="1" applyFill="1" applyBorder="1"/>
    <xf numFmtId="3" fontId="46" fillId="0" borderId="0" xfId="0" applyNumberFormat="1" applyFont="1" applyAlignment="1">
      <alignment horizontal="center"/>
    </xf>
    <xf numFmtId="0" fontId="0" fillId="0" borderId="50" xfId="0" applyBorder="1" applyAlignment="1">
      <alignment horizontal="right" vertical="center" wrapText="1"/>
    </xf>
    <xf numFmtId="0" fontId="14" fillId="0" borderId="51" xfId="0" applyFont="1" applyBorder="1" applyAlignment="1">
      <alignment horizontal="left" vertical="center"/>
    </xf>
    <xf numFmtId="168" fontId="19" fillId="0" borderId="4" xfId="0" applyNumberFormat="1" applyFont="1" applyBorder="1" applyAlignment="1">
      <alignment horizontal="center" vertical="center"/>
    </xf>
    <xf numFmtId="168" fontId="19" fillId="0" borderId="5" xfId="0" applyNumberFormat="1" applyFont="1" applyBorder="1" applyAlignment="1">
      <alignment horizontal="center" vertical="center"/>
    </xf>
    <xf numFmtId="0" fontId="0" fillId="0" borderId="50" xfId="0" applyBorder="1" applyAlignment="1">
      <alignment horizontal="left" vertical="center" wrapText="1"/>
    </xf>
    <xf numFmtId="0" fontId="0" fillId="0" borderId="52" xfId="0" applyBorder="1" applyAlignment="1">
      <alignment horizontal="left" vertical="center" wrapText="1"/>
    </xf>
    <xf numFmtId="0" fontId="0" fillId="0" borderId="51" xfId="0" applyBorder="1" applyAlignment="1">
      <alignment horizontal="right" vertical="center" wrapText="1"/>
    </xf>
    <xf numFmtId="0" fontId="18" fillId="0" borderId="0" xfId="0" applyFont="1" applyBorder="1" applyAlignment="1">
      <alignment horizontal="right" vertical="center" wrapText="1"/>
    </xf>
    <xf numFmtId="0" fontId="18" fillId="0" borderId="51" xfId="0" applyFont="1" applyBorder="1" applyAlignment="1">
      <alignment horizontal="right" vertical="center" wrapText="1"/>
    </xf>
    <xf numFmtId="0" fontId="16" fillId="0" borderId="51" xfId="0" applyFont="1" applyBorder="1" applyAlignment="1">
      <alignment horizontal="left" vertical="center" wrapText="1"/>
    </xf>
    <xf numFmtId="0" fontId="14" fillId="0" borderId="51" xfId="0" applyFont="1" applyBorder="1" applyAlignment="1">
      <alignment horizontal="left" vertical="center" wrapText="1"/>
    </xf>
    <xf numFmtId="0" fontId="0" fillId="0" borderId="52" xfId="0" applyBorder="1" applyAlignment="1">
      <alignment horizontal="right" vertical="center" wrapText="1"/>
    </xf>
    <xf numFmtId="0" fontId="26" fillId="0" borderId="16" xfId="0" applyFont="1" applyFill="1" applyBorder="1" applyAlignment="1">
      <alignment horizontal="center" vertical="center" wrapText="1"/>
    </xf>
    <xf numFmtId="0" fontId="26" fillId="0" borderId="22" xfId="0" applyFont="1" applyFill="1" applyBorder="1" applyAlignment="1">
      <alignment horizontal="center" vertical="center" wrapText="1"/>
    </xf>
    <xf numFmtId="0" fontId="26" fillId="0" borderId="12" xfId="0" applyFont="1" applyFill="1" applyBorder="1" applyAlignment="1">
      <alignment horizontal="center" vertical="center"/>
    </xf>
    <xf numFmtId="0" fontId="26" fillId="0" borderId="13" xfId="0" applyFont="1" applyFill="1" applyBorder="1" applyAlignment="1">
      <alignment horizontal="center" vertical="center"/>
    </xf>
    <xf numFmtId="0" fontId="26" fillId="0" borderId="11" xfId="0" applyFont="1" applyFill="1" applyBorder="1" applyAlignment="1">
      <alignment horizontal="center" vertical="center"/>
    </xf>
    <xf numFmtId="2" fontId="26" fillId="0" borderId="12" xfId="0" applyNumberFormat="1" applyFont="1" applyFill="1" applyBorder="1" applyAlignment="1">
      <alignment horizontal="center" vertical="center" wrapText="1"/>
    </xf>
    <xf numFmtId="2" fontId="26" fillId="0" borderId="13" xfId="0" applyNumberFormat="1" applyFont="1" applyFill="1" applyBorder="1" applyAlignment="1">
      <alignment horizontal="center" vertical="center" wrapText="1"/>
    </xf>
    <xf numFmtId="2" fontId="26" fillId="0" borderId="11" xfId="0" applyNumberFormat="1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center" vertical="center" wrapText="1"/>
    </xf>
    <xf numFmtId="0" fontId="24" fillId="0" borderId="11" xfId="0" applyFont="1" applyFill="1" applyBorder="1" applyAlignment="1">
      <alignment horizontal="center" vertical="center" wrapText="1"/>
    </xf>
    <xf numFmtId="0" fontId="28" fillId="0" borderId="12" xfId="0" applyFont="1" applyFill="1" applyBorder="1" applyAlignment="1">
      <alignment horizontal="center" vertical="center" wrapText="1"/>
    </xf>
    <xf numFmtId="0" fontId="28" fillId="0" borderId="11" xfId="0" applyFont="1" applyFill="1" applyBorder="1" applyAlignment="1">
      <alignment horizontal="center" vertical="center" wrapText="1"/>
    </xf>
    <xf numFmtId="0" fontId="28" fillId="0" borderId="12" xfId="0" applyFont="1" applyFill="1" applyBorder="1" applyAlignment="1">
      <alignment horizontal="center" vertical="center"/>
    </xf>
    <xf numFmtId="0" fontId="28" fillId="0" borderId="11" xfId="0" applyFont="1" applyFill="1" applyBorder="1" applyAlignment="1">
      <alignment horizontal="center" vertical="center"/>
    </xf>
    <xf numFmtId="0" fontId="35" fillId="0" borderId="12" xfId="2" applyFont="1" applyBorder="1" applyAlignment="1">
      <alignment horizontal="center"/>
    </xf>
    <xf numFmtId="0" fontId="35" fillId="0" borderId="13" xfId="2" applyFont="1" applyBorder="1" applyAlignment="1">
      <alignment horizontal="center"/>
    </xf>
    <xf numFmtId="0" fontId="35" fillId="0" borderId="11" xfId="2" applyFont="1" applyBorder="1" applyAlignment="1">
      <alignment horizontal="center"/>
    </xf>
  </cellXfs>
  <cellStyles count="7">
    <cellStyle name="Milliers" xfId="1" builtinId="3"/>
    <cellStyle name="Normal" xfId="0" builtinId="0"/>
    <cellStyle name="Normal 2" xfId="2"/>
    <cellStyle name="Normal_Feuil1" xfId="3"/>
    <cellStyle name="Normal_Feuil1 2" xfId="4"/>
    <cellStyle name="Pourcentage" xfId="5" builtinId="5"/>
    <cellStyle name="Pourcentage 2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406464"/>
        <c:axId val="299408000"/>
      </c:lineChart>
      <c:catAx>
        <c:axId val="299406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99408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9408000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9940646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Evolution mensuelle de la population écrouée (puis écrouée détenue depuis 2004)
</a:t>
            </a:r>
          </a:p>
        </c:rich>
      </c:tx>
      <c:layout>
        <c:manualLayout>
          <c:xMode val="edge"/>
          <c:yMode val="edge"/>
          <c:x val="0.15121424391487487"/>
          <c:y val="2.777777777777777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677792233409471E-2"/>
          <c:y val="0.12847244003709588"/>
          <c:w val="0.87748438953460173"/>
          <c:h val="0.67534836722203107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34516</c:v>
              </c:pt>
              <c:pt idx="1">
                <c:v>34547</c:v>
              </c:pt>
              <c:pt idx="2">
                <c:v>34578</c:v>
              </c:pt>
              <c:pt idx="3">
                <c:v>34608</c:v>
              </c:pt>
              <c:pt idx="4">
                <c:v>34639</c:v>
              </c:pt>
              <c:pt idx="5">
                <c:v>34669</c:v>
              </c:pt>
              <c:pt idx="6">
                <c:v>34700</c:v>
              </c:pt>
              <c:pt idx="7">
                <c:v>34731</c:v>
              </c:pt>
              <c:pt idx="8">
                <c:v>34759</c:v>
              </c:pt>
              <c:pt idx="9">
                <c:v>34790</c:v>
              </c:pt>
              <c:pt idx="10">
                <c:v>34820</c:v>
              </c:pt>
              <c:pt idx="11">
                <c:v>34851</c:v>
              </c:pt>
              <c:pt idx="12">
                <c:v>34881</c:v>
              </c:pt>
              <c:pt idx="13">
                <c:v>34912</c:v>
              </c:pt>
              <c:pt idx="14">
                <c:v>34943</c:v>
              </c:pt>
              <c:pt idx="15">
                <c:v>34973</c:v>
              </c:pt>
              <c:pt idx="16">
                <c:v>35004</c:v>
              </c:pt>
              <c:pt idx="17">
                <c:v>35034</c:v>
              </c:pt>
              <c:pt idx="18">
                <c:v>35065</c:v>
              </c:pt>
              <c:pt idx="19">
                <c:v>35096</c:v>
              </c:pt>
              <c:pt idx="20">
                <c:v>35125</c:v>
              </c:pt>
              <c:pt idx="21">
                <c:v>35156</c:v>
              </c:pt>
              <c:pt idx="22">
                <c:v>35186</c:v>
              </c:pt>
              <c:pt idx="23">
                <c:v>35217</c:v>
              </c:pt>
              <c:pt idx="24">
                <c:v>35247</c:v>
              </c:pt>
              <c:pt idx="25">
                <c:v>35278</c:v>
              </c:pt>
              <c:pt idx="26">
                <c:v>35309</c:v>
              </c:pt>
              <c:pt idx="27">
                <c:v>35339</c:v>
              </c:pt>
              <c:pt idx="28">
                <c:v>35370</c:v>
              </c:pt>
              <c:pt idx="29">
                <c:v>35400</c:v>
              </c:pt>
              <c:pt idx="30">
                <c:v>35431</c:v>
              </c:pt>
              <c:pt idx="31">
                <c:v>35462</c:v>
              </c:pt>
              <c:pt idx="32">
                <c:v>35490</c:v>
              </c:pt>
              <c:pt idx="33">
                <c:v>35521</c:v>
              </c:pt>
              <c:pt idx="34">
                <c:v>35551</c:v>
              </c:pt>
              <c:pt idx="35">
                <c:v>35582</c:v>
              </c:pt>
              <c:pt idx="36">
                <c:v>35612</c:v>
              </c:pt>
              <c:pt idx="37">
                <c:v>35643</c:v>
              </c:pt>
              <c:pt idx="38">
                <c:v>35674</c:v>
              </c:pt>
              <c:pt idx="39">
                <c:v>35704</c:v>
              </c:pt>
              <c:pt idx="40">
                <c:v>35735</c:v>
              </c:pt>
              <c:pt idx="41">
                <c:v>35765</c:v>
              </c:pt>
              <c:pt idx="42">
                <c:v>35796</c:v>
              </c:pt>
              <c:pt idx="43">
                <c:v>35827</c:v>
              </c:pt>
              <c:pt idx="44">
                <c:v>35855</c:v>
              </c:pt>
              <c:pt idx="45">
                <c:v>35886</c:v>
              </c:pt>
              <c:pt idx="46">
                <c:v>35916</c:v>
              </c:pt>
              <c:pt idx="47">
                <c:v>35947</c:v>
              </c:pt>
              <c:pt idx="48">
                <c:v>35977</c:v>
              </c:pt>
              <c:pt idx="49">
                <c:v>36008</c:v>
              </c:pt>
              <c:pt idx="50">
                <c:v>36039</c:v>
              </c:pt>
              <c:pt idx="51">
                <c:v>36069</c:v>
              </c:pt>
              <c:pt idx="52">
                <c:v>36100</c:v>
              </c:pt>
              <c:pt idx="53">
                <c:v>36130</c:v>
              </c:pt>
              <c:pt idx="54">
                <c:v>36161</c:v>
              </c:pt>
              <c:pt idx="55">
                <c:v>36192</c:v>
              </c:pt>
              <c:pt idx="56">
                <c:v>36220</c:v>
              </c:pt>
              <c:pt idx="57">
                <c:v>36251</c:v>
              </c:pt>
              <c:pt idx="58">
                <c:v>36281</c:v>
              </c:pt>
              <c:pt idx="59">
                <c:v>36312</c:v>
              </c:pt>
              <c:pt idx="60">
                <c:v>36342</c:v>
              </c:pt>
              <c:pt idx="61">
                <c:v>36373</c:v>
              </c:pt>
              <c:pt idx="62">
                <c:v>36404</c:v>
              </c:pt>
              <c:pt idx="63">
                <c:v>36434</c:v>
              </c:pt>
              <c:pt idx="64">
                <c:v>36465</c:v>
              </c:pt>
              <c:pt idx="65">
                <c:v>36495</c:v>
              </c:pt>
              <c:pt idx="66">
                <c:v>36526</c:v>
              </c:pt>
              <c:pt idx="67">
                <c:v>36557</c:v>
              </c:pt>
              <c:pt idx="68">
                <c:v>36586</c:v>
              </c:pt>
              <c:pt idx="69">
                <c:v>36617</c:v>
              </c:pt>
              <c:pt idx="70">
                <c:v>36647</c:v>
              </c:pt>
              <c:pt idx="71">
                <c:v>36678</c:v>
              </c:pt>
              <c:pt idx="72">
                <c:v>36708</c:v>
              </c:pt>
              <c:pt idx="73">
                <c:v>36739</c:v>
              </c:pt>
              <c:pt idx="74">
                <c:v>36770</c:v>
              </c:pt>
              <c:pt idx="75">
                <c:v>36800</c:v>
              </c:pt>
              <c:pt idx="76">
                <c:v>36831</c:v>
              </c:pt>
              <c:pt idx="77">
                <c:v>36861</c:v>
              </c:pt>
              <c:pt idx="78">
                <c:v>36892</c:v>
              </c:pt>
              <c:pt idx="79">
                <c:v>36923</c:v>
              </c:pt>
              <c:pt idx="80">
                <c:v>36951</c:v>
              </c:pt>
              <c:pt idx="81">
                <c:v>36982</c:v>
              </c:pt>
              <c:pt idx="82">
                <c:v>37012</c:v>
              </c:pt>
              <c:pt idx="83">
                <c:v>37043</c:v>
              </c:pt>
              <c:pt idx="84">
                <c:v>37073</c:v>
              </c:pt>
              <c:pt idx="85">
                <c:v>37104</c:v>
              </c:pt>
              <c:pt idx="86">
                <c:v>37135</c:v>
              </c:pt>
              <c:pt idx="87">
                <c:v>37165</c:v>
              </c:pt>
              <c:pt idx="88">
                <c:v>37196</c:v>
              </c:pt>
              <c:pt idx="89">
                <c:v>37226</c:v>
              </c:pt>
              <c:pt idx="90">
                <c:v>37257</c:v>
              </c:pt>
              <c:pt idx="91">
                <c:v>37288</c:v>
              </c:pt>
              <c:pt idx="92">
                <c:v>37316</c:v>
              </c:pt>
              <c:pt idx="93">
                <c:v>37347</c:v>
              </c:pt>
              <c:pt idx="94">
                <c:v>37377</c:v>
              </c:pt>
              <c:pt idx="95">
                <c:v>37408</c:v>
              </c:pt>
              <c:pt idx="96">
                <c:v>37438</c:v>
              </c:pt>
              <c:pt idx="97">
                <c:v>37469</c:v>
              </c:pt>
              <c:pt idx="98">
                <c:v>37500</c:v>
              </c:pt>
              <c:pt idx="99">
                <c:v>37530</c:v>
              </c:pt>
              <c:pt idx="100">
                <c:v>37561</c:v>
              </c:pt>
              <c:pt idx="101">
                <c:v>37591</c:v>
              </c:pt>
              <c:pt idx="102">
                <c:v>37622</c:v>
              </c:pt>
              <c:pt idx="103">
                <c:v>37653</c:v>
              </c:pt>
              <c:pt idx="104">
                <c:v>37681</c:v>
              </c:pt>
              <c:pt idx="105">
                <c:v>37712</c:v>
              </c:pt>
              <c:pt idx="106">
                <c:v>37742</c:v>
              </c:pt>
              <c:pt idx="107">
                <c:v>37773</c:v>
              </c:pt>
              <c:pt idx="108">
                <c:v>37803</c:v>
              </c:pt>
              <c:pt idx="109">
                <c:v>37834</c:v>
              </c:pt>
              <c:pt idx="110">
                <c:v>37865</c:v>
              </c:pt>
              <c:pt idx="111">
                <c:v>37895</c:v>
              </c:pt>
              <c:pt idx="112">
                <c:v>37926</c:v>
              </c:pt>
              <c:pt idx="113">
                <c:v>37956</c:v>
              </c:pt>
              <c:pt idx="114">
                <c:v>37987</c:v>
              </c:pt>
              <c:pt idx="115">
                <c:v>38018</c:v>
              </c:pt>
              <c:pt idx="116">
                <c:v>38047</c:v>
              </c:pt>
              <c:pt idx="117">
                <c:v>38078</c:v>
              </c:pt>
              <c:pt idx="118">
                <c:v>38108</c:v>
              </c:pt>
              <c:pt idx="119">
                <c:v>38139</c:v>
              </c:pt>
              <c:pt idx="120">
                <c:v>38169</c:v>
              </c:pt>
              <c:pt idx="121">
                <c:v>38200</c:v>
              </c:pt>
              <c:pt idx="122">
                <c:v>38231</c:v>
              </c:pt>
              <c:pt idx="123">
                <c:v>38261</c:v>
              </c:pt>
              <c:pt idx="124">
                <c:v>38292</c:v>
              </c:pt>
              <c:pt idx="125">
                <c:v>38322</c:v>
              </c:pt>
              <c:pt idx="126">
                <c:v>38353</c:v>
              </c:pt>
              <c:pt idx="127">
                <c:v>38384</c:v>
              </c:pt>
              <c:pt idx="128">
                <c:v>38412</c:v>
              </c:pt>
              <c:pt idx="129">
                <c:v>38443</c:v>
              </c:pt>
              <c:pt idx="130">
                <c:v>38473</c:v>
              </c:pt>
              <c:pt idx="131">
                <c:v>38504</c:v>
              </c:pt>
              <c:pt idx="132">
                <c:v>38534</c:v>
              </c:pt>
              <c:pt idx="133">
                <c:v>38565</c:v>
              </c:pt>
              <c:pt idx="134">
                <c:v>38596</c:v>
              </c:pt>
              <c:pt idx="135">
                <c:v>38626</c:v>
              </c:pt>
              <c:pt idx="136">
                <c:v>38657</c:v>
              </c:pt>
              <c:pt idx="137">
                <c:v>38687</c:v>
              </c:pt>
              <c:pt idx="138">
                <c:v>38718</c:v>
              </c:pt>
              <c:pt idx="139">
                <c:v>38749</c:v>
              </c:pt>
              <c:pt idx="140">
                <c:v>38777</c:v>
              </c:pt>
              <c:pt idx="141">
                <c:v>38808</c:v>
              </c:pt>
              <c:pt idx="142">
                <c:v>38838</c:v>
              </c:pt>
              <c:pt idx="143">
                <c:v>38869</c:v>
              </c:pt>
              <c:pt idx="144">
                <c:v>38899</c:v>
              </c:pt>
              <c:pt idx="145">
                <c:v>38930</c:v>
              </c:pt>
              <c:pt idx="146">
                <c:v>38961</c:v>
              </c:pt>
              <c:pt idx="147">
                <c:v>38991</c:v>
              </c:pt>
              <c:pt idx="148">
                <c:v>39022</c:v>
              </c:pt>
              <c:pt idx="149">
                <c:v>39052</c:v>
              </c:pt>
              <c:pt idx="150">
                <c:v>39083</c:v>
              </c:pt>
              <c:pt idx="151">
                <c:v>39114</c:v>
              </c:pt>
              <c:pt idx="152">
                <c:v>39142</c:v>
              </c:pt>
              <c:pt idx="153">
                <c:v>39173</c:v>
              </c:pt>
              <c:pt idx="154">
                <c:v>39203</c:v>
              </c:pt>
              <c:pt idx="155">
                <c:v>39234</c:v>
              </c:pt>
              <c:pt idx="156">
                <c:v>39264</c:v>
              </c:pt>
              <c:pt idx="157">
                <c:v>39295</c:v>
              </c:pt>
              <c:pt idx="158">
                <c:v>39326</c:v>
              </c:pt>
              <c:pt idx="159">
                <c:v>39356</c:v>
              </c:pt>
              <c:pt idx="160">
                <c:v>39387</c:v>
              </c:pt>
              <c:pt idx="161">
                <c:v>39417</c:v>
              </c:pt>
              <c:pt idx="162">
                <c:v>39448</c:v>
              </c:pt>
              <c:pt idx="163">
                <c:v>39479</c:v>
              </c:pt>
              <c:pt idx="164">
                <c:v>39508</c:v>
              </c:pt>
              <c:pt idx="165">
                <c:v>39539</c:v>
              </c:pt>
              <c:pt idx="166">
                <c:v>39569</c:v>
              </c:pt>
              <c:pt idx="167">
                <c:v>39600</c:v>
              </c:pt>
              <c:pt idx="168">
                <c:v>39630</c:v>
              </c:pt>
              <c:pt idx="169">
                <c:v>39661</c:v>
              </c:pt>
              <c:pt idx="170">
                <c:v>39692</c:v>
              </c:pt>
              <c:pt idx="171">
                <c:v>39722</c:v>
              </c:pt>
              <c:pt idx="172">
                <c:v>39753</c:v>
              </c:pt>
              <c:pt idx="173">
                <c:v>39783</c:v>
              </c:pt>
              <c:pt idx="174">
                <c:v>39814</c:v>
              </c:pt>
              <c:pt idx="175">
                <c:v>39845</c:v>
              </c:pt>
              <c:pt idx="176">
                <c:v>39873</c:v>
              </c:pt>
              <c:pt idx="177">
                <c:v>39904</c:v>
              </c:pt>
              <c:pt idx="178">
                <c:v>39934</c:v>
              </c:pt>
              <c:pt idx="179">
                <c:v>39965</c:v>
              </c:pt>
              <c:pt idx="180">
                <c:v>39995</c:v>
              </c:pt>
              <c:pt idx="181">
                <c:v>40026</c:v>
              </c:pt>
              <c:pt idx="182">
                <c:v>40057</c:v>
              </c:pt>
              <c:pt idx="183">
                <c:v>40087</c:v>
              </c:pt>
              <c:pt idx="184">
                <c:v>40118</c:v>
              </c:pt>
              <c:pt idx="185">
                <c:v>40148</c:v>
              </c:pt>
              <c:pt idx="186">
                <c:v>40179</c:v>
              </c:pt>
              <c:pt idx="187">
                <c:v>40210</c:v>
              </c:pt>
              <c:pt idx="188">
                <c:v>40238</c:v>
              </c:pt>
              <c:pt idx="189">
                <c:v>40269</c:v>
              </c:pt>
              <c:pt idx="190">
                <c:v>40299</c:v>
              </c:pt>
              <c:pt idx="191">
                <c:v>40330</c:v>
              </c:pt>
              <c:pt idx="192">
                <c:v>40360</c:v>
              </c:pt>
              <c:pt idx="193">
                <c:v>40391</c:v>
              </c:pt>
              <c:pt idx="194">
                <c:v>40422</c:v>
              </c:pt>
              <c:pt idx="195">
                <c:v>40452</c:v>
              </c:pt>
              <c:pt idx="196">
                <c:v>40483</c:v>
              </c:pt>
              <c:pt idx="197">
                <c:v>40513</c:v>
              </c:pt>
              <c:pt idx="198">
                <c:v>40544</c:v>
              </c:pt>
              <c:pt idx="199">
                <c:v>40575</c:v>
              </c:pt>
              <c:pt idx="200">
                <c:v>40603</c:v>
              </c:pt>
              <c:pt idx="201">
                <c:v>40634</c:v>
              </c:pt>
              <c:pt idx="202">
                <c:v>40664</c:v>
              </c:pt>
              <c:pt idx="203">
                <c:v>40695</c:v>
              </c:pt>
              <c:pt idx="204">
                <c:v>40756</c:v>
              </c:pt>
              <c:pt idx="205">
                <c:v>40787</c:v>
              </c:pt>
              <c:pt idx="206">
                <c:v>40817</c:v>
              </c:pt>
              <c:pt idx="207">
                <c:v>40848</c:v>
              </c:pt>
              <c:pt idx="208">
                <c:v>40878</c:v>
              </c:pt>
              <c:pt idx="209">
                <c:v>40909</c:v>
              </c:pt>
              <c:pt idx="210">
                <c:v>40940</c:v>
              </c:pt>
              <c:pt idx="211">
                <c:v>40969</c:v>
              </c:pt>
              <c:pt idx="212">
                <c:v>41000</c:v>
              </c:pt>
              <c:pt idx="213">
                <c:v>41030</c:v>
              </c:pt>
              <c:pt idx="214">
                <c:v>41061</c:v>
              </c:pt>
              <c:pt idx="215">
                <c:v>41091</c:v>
              </c:pt>
              <c:pt idx="216">
                <c:v>41122</c:v>
              </c:pt>
              <c:pt idx="217">
                <c:v>41153</c:v>
              </c:pt>
              <c:pt idx="218">
                <c:v>41183</c:v>
              </c:pt>
              <c:pt idx="219">
                <c:v>41214</c:v>
              </c:pt>
              <c:pt idx="220">
                <c:v>41244</c:v>
              </c:pt>
              <c:pt idx="221">
                <c:v>41275</c:v>
              </c:pt>
              <c:pt idx="222">
                <c:v>41306</c:v>
              </c:pt>
              <c:pt idx="223">
                <c:v>41334</c:v>
              </c:pt>
              <c:pt idx="224">
                <c:v>41365</c:v>
              </c:pt>
              <c:pt idx="225">
                <c:v>41395</c:v>
              </c:pt>
              <c:pt idx="226">
                <c:v>41426</c:v>
              </c:pt>
              <c:pt idx="227">
                <c:v>41456</c:v>
              </c:pt>
              <c:pt idx="228">
                <c:v>41487</c:v>
              </c:pt>
              <c:pt idx="229">
                <c:v>41518</c:v>
              </c:pt>
              <c:pt idx="230">
                <c:v>41548</c:v>
              </c:pt>
              <c:pt idx="231">
                <c:v>41579</c:v>
              </c:pt>
              <c:pt idx="232">
                <c:v>41609</c:v>
              </c:pt>
              <c:pt idx="233">
                <c:v>41640</c:v>
              </c:pt>
              <c:pt idx="234">
                <c:v>41671</c:v>
              </c:pt>
              <c:pt idx="235">
                <c:v>41699</c:v>
              </c:pt>
              <c:pt idx="236">
                <c:v>41730</c:v>
              </c:pt>
              <c:pt idx="237">
                <c:v>41760</c:v>
              </c:pt>
              <c:pt idx="238">
                <c:v>41791</c:v>
              </c:pt>
              <c:pt idx="239">
                <c:v>41821</c:v>
              </c:pt>
            </c:numLit>
          </c:cat>
          <c:val>
            <c:numLit>
              <c:formatCode>General</c:formatCode>
              <c:ptCount val="241"/>
              <c:pt idx="0">
                <c:v>22496</c:v>
              </c:pt>
              <c:pt idx="1">
                <c:v>21444</c:v>
              </c:pt>
              <c:pt idx="2">
                <c:v>21640</c:v>
              </c:pt>
              <c:pt idx="3">
                <c:v>22273</c:v>
              </c:pt>
              <c:pt idx="4">
                <c:v>23031</c:v>
              </c:pt>
              <c:pt idx="5">
                <c:v>23427</c:v>
              </c:pt>
              <c:pt idx="6">
                <c:v>23093</c:v>
              </c:pt>
              <c:pt idx="7">
                <c:v>23888</c:v>
              </c:pt>
              <c:pt idx="8">
                <c:v>24076</c:v>
              </c:pt>
              <c:pt idx="9">
                <c:v>22769</c:v>
              </c:pt>
              <c:pt idx="10">
                <c:v>22784</c:v>
              </c:pt>
              <c:pt idx="11">
                <c:v>22032</c:v>
              </c:pt>
              <c:pt idx="12">
                <c:v>22082</c:v>
              </c:pt>
              <c:pt idx="13">
                <c:v>21527</c:v>
              </c:pt>
              <c:pt idx="14">
                <c:v>21598</c:v>
              </c:pt>
              <c:pt idx="15">
                <c:v>21682</c:v>
              </c:pt>
              <c:pt idx="16">
                <c:v>22490</c:v>
              </c:pt>
              <c:pt idx="17">
                <c:v>22922</c:v>
              </c:pt>
              <c:pt idx="18">
                <c:v>21889</c:v>
              </c:pt>
              <c:pt idx="19">
                <c:v>22692</c:v>
              </c:pt>
              <c:pt idx="20">
                <c:v>22805</c:v>
              </c:pt>
              <c:pt idx="21">
                <c:v>23162</c:v>
              </c:pt>
              <c:pt idx="22">
                <c:v>22767</c:v>
              </c:pt>
              <c:pt idx="23">
                <c:v>22856</c:v>
              </c:pt>
              <c:pt idx="24">
                <c:v>22524</c:v>
              </c:pt>
              <c:pt idx="25">
                <c:v>21454</c:v>
              </c:pt>
              <c:pt idx="26">
                <c:v>21639</c:v>
              </c:pt>
              <c:pt idx="27">
                <c:v>21972</c:v>
              </c:pt>
              <c:pt idx="28">
                <c:v>22422</c:v>
              </c:pt>
              <c:pt idx="29">
                <c:v>22988</c:v>
              </c:pt>
              <c:pt idx="30">
                <c:v>22603</c:v>
              </c:pt>
              <c:pt idx="31">
                <c:v>23371</c:v>
              </c:pt>
              <c:pt idx="32">
                <c:v>23785</c:v>
              </c:pt>
              <c:pt idx="33">
                <c:v>23306</c:v>
              </c:pt>
              <c:pt idx="34">
                <c:v>22631</c:v>
              </c:pt>
              <c:pt idx="35">
                <c:v>22858</c:v>
              </c:pt>
              <c:pt idx="36">
                <c:v>22699</c:v>
              </c:pt>
              <c:pt idx="37">
                <c:v>21632</c:v>
              </c:pt>
              <c:pt idx="38">
                <c:v>21974</c:v>
              </c:pt>
              <c:pt idx="39">
                <c:v>21840</c:v>
              </c:pt>
              <c:pt idx="40">
                <c:v>22259</c:v>
              </c:pt>
              <c:pt idx="41">
                <c:v>22820</c:v>
              </c:pt>
              <c:pt idx="42">
                <c:v>21676</c:v>
              </c:pt>
              <c:pt idx="43">
                <c:v>22212</c:v>
              </c:pt>
              <c:pt idx="44">
                <c:v>22605</c:v>
              </c:pt>
              <c:pt idx="45">
                <c:v>22668</c:v>
              </c:pt>
              <c:pt idx="46">
                <c:v>22182</c:v>
              </c:pt>
              <c:pt idx="47">
                <c:v>21912</c:v>
              </c:pt>
              <c:pt idx="48">
                <c:v>21540</c:v>
              </c:pt>
              <c:pt idx="49">
                <c:v>20378</c:v>
              </c:pt>
              <c:pt idx="50">
                <c:v>20167</c:v>
              </c:pt>
              <c:pt idx="51">
                <c:v>20299</c:v>
              </c:pt>
              <c:pt idx="52">
                <c:v>21091</c:v>
              </c:pt>
              <c:pt idx="53">
                <c:v>21086</c:v>
              </c:pt>
              <c:pt idx="54">
                <c:v>20610</c:v>
              </c:pt>
              <c:pt idx="55">
                <c:v>21289</c:v>
              </c:pt>
              <c:pt idx="56">
                <c:v>21487</c:v>
              </c:pt>
              <c:pt idx="57">
                <c:v>21455</c:v>
              </c:pt>
              <c:pt idx="58">
                <c:v>21197</c:v>
              </c:pt>
              <c:pt idx="59">
                <c:v>21389</c:v>
              </c:pt>
              <c:pt idx="60">
                <c:v>21891</c:v>
              </c:pt>
              <c:pt idx="61">
                <c:v>20739</c:v>
              </c:pt>
              <c:pt idx="62">
                <c:v>20315</c:v>
              </c:pt>
              <c:pt idx="63">
                <c:v>20575</c:v>
              </c:pt>
              <c:pt idx="64">
                <c:v>20766</c:v>
              </c:pt>
              <c:pt idx="65">
                <c:v>21199</c:v>
              </c:pt>
              <c:pt idx="66">
                <c:v>20527</c:v>
              </c:pt>
              <c:pt idx="67">
                <c:v>20736</c:v>
              </c:pt>
              <c:pt idx="68">
                <c:v>18752</c:v>
              </c:pt>
              <c:pt idx="69">
                <c:v>19330</c:v>
              </c:pt>
              <c:pt idx="70">
                <c:v>19528</c:v>
              </c:pt>
              <c:pt idx="71">
                <c:v>17842</c:v>
              </c:pt>
              <c:pt idx="72">
                <c:v>17782</c:v>
              </c:pt>
              <c:pt idx="73">
                <c:v>16707</c:v>
              </c:pt>
              <c:pt idx="74">
                <c:v>16983</c:v>
              </c:pt>
              <c:pt idx="75">
                <c:v>16841</c:v>
              </c:pt>
              <c:pt idx="76">
                <c:v>16932</c:v>
              </c:pt>
              <c:pt idx="77">
                <c:v>17068</c:v>
              </c:pt>
              <c:pt idx="78">
                <c:v>16107</c:v>
              </c:pt>
              <c:pt idx="79">
                <c:v>15273</c:v>
              </c:pt>
              <c:pt idx="80">
                <c:v>15018</c:v>
              </c:pt>
              <c:pt idx="81">
                <c:v>15671</c:v>
              </c:pt>
              <c:pt idx="82">
                <c:v>15232</c:v>
              </c:pt>
              <c:pt idx="83">
                <c:v>15119</c:v>
              </c:pt>
              <c:pt idx="84">
                <c:v>14945</c:v>
              </c:pt>
              <c:pt idx="85">
                <c:v>14537</c:v>
              </c:pt>
              <c:pt idx="86">
                <c:v>14927</c:v>
              </c:pt>
              <c:pt idx="87">
                <c:v>15698</c:v>
              </c:pt>
              <c:pt idx="88">
                <c:v>16103</c:v>
              </c:pt>
              <c:pt idx="89">
                <c:v>16568</c:v>
              </c:pt>
              <c:pt idx="90">
                <c:v>16124</c:v>
              </c:pt>
              <c:pt idx="91">
                <c:v>17318</c:v>
              </c:pt>
              <c:pt idx="92">
                <c:v>17648</c:v>
              </c:pt>
              <c:pt idx="93">
                <c:v>18328</c:v>
              </c:pt>
              <c:pt idx="94">
                <c:v>18028</c:v>
              </c:pt>
              <c:pt idx="95">
                <c:v>18598</c:v>
              </c:pt>
              <c:pt idx="96">
                <c:v>18469</c:v>
              </c:pt>
              <c:pt idx="97">
                <c:v>18121</c:v>
              </c:pt>
              <c:pt idx="98">
                <c:v>18477</c:v>
              </c:pt>
              <c:pt idx="99">
                <c:v>19402</c:v>
              </c:pt>
              <c:pt idx="100">
                <c:v>20103</c:v>
              </c:pt>
              <c:pt idx="101">
                <c:v>21215</c:v>
              </c:pt>
              <c:pt idx="102">
                <c:v>20852</c:v>
              </c:pt>
              <c:pt idx="103">
                <c:v>21502</c:v>
              </c:pt>
              <c:pt idx="104">
                <c:v>21886</c:v>
              </c:pt>
              <c:pt idx="105">
                <c:v>22285</c:v>
              </c:pt>
              <c:pt idx="106">
                <c:v>22114</c:v>
              </c:pt>
              <c:pt idx="107">
                <c:v>22441</c:v>
              </c:pt>
              <c:pt idx="108">
                <c:v>21925</c:v>
              </c:pt>
              <c:pt idx="109">
                <c:v>21028</c:v>
              </c:pt>
              <c:pt idx="110">
                <c:v>21278</c:v>
              </c:pt>
              <c:pt idx="111">
                <c:v>21881</c:v>
              </c:pt>
              <c:pt idx="112">
                <c:v>22021</c:v>
              </c:pt>
              <c:pt idx="113">
                <c:v>22300</c:v>
              </c:pt>
              <c:pt idx="114">
                <c:v>21749</c:v>
              </c:pt>
              <c:pt idx="115">
                <c:v>22799</c:v>
              </c:pt>
              <c:pt idx="116">
                <c:v>22652</c:v>
              </c:pt>
              <c:pt idx="117">
                <c:v>22713</c:v>
              </c:pt>
              <c:pt idx="118">
                <c:v>22705</c:v>
              </c:pt>
              <c:pt idx="119">
                <c:v>22313</c:v>
              </c:pt>
              <c:pt idx="120">
                <c:v>22110</c:v>
              </c:pt>
              <c:pt idx="121">
                <c:v>20805</c:v>
              </c:pt>
              <c:pt idx="122">
                <c:v>19760</c:v>
              </c:pt>
              <c:pt idx="123">
                <c:v>20596</c:v>
              </c:pt>
              <c:pt idx="124">
                <c:v>20814</c:v>
              </c:pt>
              <c:pt idx="125">
                <c:v>20834</c:v>
              </c:pt>
              <c:pt idx="126">
                <c:v>20134</c:v>
              </c:pt>
              <c:pt idx="127">
                <c:v>20836</c:v>
              </c:pt>
              <c:pt idx="128">
                <c:v>21141</c:v>
              </c:pt>
              <c:pt idx="129">
                <c:v>20713</c:v>
              </c:pt>
              <c:pt idx="130">
                <c:v>21066</c:v>
              </c:pt>
              <c:pt idx="131">
                <c:v>20910</c:v>
              </c:pt>
              <c:pt idx="132">
                <c:v>20999</c:v>
              </c:pt>
              <c:pt idx="133">
                <c:v>19951</c:v>
              </c:pt>
              <c:pt idx="134">
                <c:v>20228</c:v>
              </c:pt>
              <c:pt idx="135">
                <c:v>20616</c:v>
              </c:pt>
              <c:pt idx="136">
                <c:v>20676</c:v>
              </c:pt>
              <c:pt idx="137">
                <c:v>21033</c:v>
              </c:pt>
              <c:pt idx="138">
                <c:v>19732</c:v>
              </c:pt>
              <c:pt idx="139">
                <c:v>20239</c:v>
              </c:pt>
              <c:pt idx="140">
                <c:v>19368</c:v>
              </c:pt>
              <c:pt idx="141">
                <c:v>19383</c:v>
              </c:pt>
              <c:pt idx="142">
                <c:v>19197</c:v>
              </c:pt>
              <c:pt idx="143">
                <c:v>18748</c:v>
              </c:pt>
              <c:pt idx="144">
                <c:v>18546</c:v>
              </c:pt>
              <c:pt idx="145">
                <c:v>17071</c:v>
              </c:pt>
              <c:pt idx="146">
                <c:v>17487</c:v>
              </c:pt>
              <c:pt idx="147">
                <c:v>18444</c:v>
              </c:pt>
              <c:pt idx="148">
                <c:v>18413</c:v>
              </c:pt>
              <c:pt idx="149">
                <c:v>18832</c:v>
              </c:pt>
              <c:pt idx="150">
                <c:v>18483</c:v>
              </c:pt>
              <c:pt idx="151">
                <c:v>18297</c:v>
              </c:pt>
              <c:pt idx="152">
                <c:v>18561</c:v>
              </c:pt>
              <c:pt idx="153">
                <c:v>18226</c:v>
              </c:pt>
              <c:pt idx="154">
                <c:v>17850</c:v>
              </c:pt>
              <c:pt idx="155">
                <c:v>17691</c:v>
              </c:pt>
              <c:pt idx="156">
                <c:v>18223</c:v>
              </c:pt>
              <c:pt idx="157">
                <c:v>16965</c:v>
              </c:pt>
              <c:pt idx="158">
                <c:v>16847</c:v>
              </c:pt>
              <c:pt idx="159">
                <c:v>17546</c:v>
              </c:pt>
              <c:pt idx="160">
                <c:v>17348</c:v>
              </c:pt>
              <c:pt idx="161">
                <c:v>17615</c:v>
              </c:pt>
              <c:pt idx="162">
                <c:v>16797</c:v>
              </c:pt>
              <c:pt idx="163">
                <c:v>17497</c:v>
              </c:pt>
              <c:pt idx="164">
                <c:v>17373</c:v>
              </c:pt>
              <c:pt idx="165">
                <c:v>17466</c:v>
              </c:pt>
              <c:pt idx="166">
                <c:v>17339</c:v>
              </c:pt>
              <c:pt idx="167">
                <c:v>17586</c:v>
              </c:pt>
              <c:pt idx="168">
                <c:v>17495</c:v>
              </c:pt>
              <c:pt idx="169">
                <c:v>16572</c:v>
              </c:pt>
              <c:pt idx="170">
                <c:v>16731</c:v>
              </c:pt>
              <c:pt idx="171">
                <c:v>16738</c:v>
              </c:pt>
              <c:pt idx="172">
                <c:v>16852</c:v>
              </c:pt>
              <c:pt idx="173">
                <c:v>16793</c:v>
              </c:pt>
              <c:pt idx="174">
                <c:v>15933</c:v>
              </c:pt>
              <c:pt idx="175">
                <c:v>16471</c:v>
              </c:pt>
              <c:pt idx="176">
                <c:v>16331</c:v>
              </c:pt>
              <c:pt idx="177">
                <c:v>16220</c:v>
              </c:pt>
              <c:pt idx="178">
                <c:v>16311</c:v>
              </c:pt>
              <c:pt idx="179">
                <c:v>16412</c:v>
              </c:pt>
              <c:pt idx="180">
                <c:v>16174</c:v>
              </c:pt>
              <c:pt idx="181">
                <c:v>15384</c:v>
              </c:pt>
              <c:pt idx="182">
                <c:v>15461</c:v>
              </c:pt>
              <c:pt idx="183">
                <c:v>15602</c:v>
              </c:pt>
              <c:pt idx="184">
                <c:v>15777</c:v>
              </c:pt>
              <c:pt idx="185">
                <c:v>15963</c:v>
              </c:pt>
              <c:pt idx="186">
                <c:v>15395</c:v>
              </c:pt>
              <c:pt idx="187">
                <c:v>15853</c:v>
              </c:pt>
              <c:pt idx="188">
                <c:v>15680</c:v>
              </c:pt>
              <c:pt idx="189">
                <c:v>15797</c:v>
              </c:pt>
              <c:pt idx="190">
                <c:v>15963</c:v>
              </c:pt>
              <c:pt idx="191">
                <c:v>15942</c:v>
              </c:pt>
              <c:pt idx="192">
                <c:v>15963</c:v>
              </c:pt>
              <c:pt idx="193">
                <c:v>15388</c:v>
              </c:pt>
              <c:pt idx="194">
                <c:v>15226</c:v>
              </c:pt>
              <c:pt idx="195">
                <c:v>15851</c:v>
              </c:pt>
              <c:pt idx="196">
                <c:v>16057</c:v>
              </c:pt>
              <c:pt idx="197">
                <c:v>16170</c:v>
              </c:pt>
              <c:pt idx="198">
                <c:v>15702</c:v>
              </c:pt>
              <c:pt idx="199">
                <c:v>16361</c:v>
              </c:pt>
              <c:pt idx="200">
                <c:v>16750</c:v>
              </c:pt>
              <c:pt idx="201">
                <c:v>16956</c:v>
              </c:pt>
              <c:pt idx="202">
                <c:v>16882</c:v>
              </c:pt>
              <c:pt idx="203">
                <c:v>16960</c:v>
              </c:pt>
              <c:pt idx="204">
                <c:v>16113</c:v>
              </c:pt>
              <c:pt idx="205">
                <c:v>16056</c:v>
              </c:pt>
              <c:pt idx="206">
                <c:v>16457</c:v>
              </c:pt>
              <c:pt idx="207">
                <c:v>16456</c:v>
              </c:pt>
              <c:pt idx="208">
                <c:v>16587</c:v>
              </c:pt>
              <c:pt idx="209">
                <c:v>16279</c:v>
              </c:pt>
              <c:pt idx="210">
                <c:v>16463</c:v>
              </c:pt>
              <c:pt idx="211">
                <c:v>16512</c:v>
              </c:pt>
              <c:pt idx="212">
                <c:v>17027</c:v>
              </c:pt>
              <c:pt idx="213">
                <c:v>16773</c:v>
              </c:pt>
              <c:pt idx="214">
                <c:v>16756</c:v>
              </c:pt>
              <c:pt idx="215">
                <c:v>17138</c:v>
              </c:pt>
              <c:pt idx="216">
                <c:v>16467</c:v>
              </c:pt>
              <c:pt idx="217">
                <c:v>16266</c:v>
              </c:pt>
              <c:pt idx="218">
                <c:v>16915</c:v>
              </c:pt>
              <c:pt idx="219">
                <c:v>16821</c:v>
              </c:pt>
              <c:pt idx="220">
                <c:v>16945</c:v>
              </c:pt>
              <c:pt idx="221">
                <c:v>16454</c:v>
              </c:pt>
              <c:pt idx="222">
                <c:v>16754</c:v>
              </c:pt>
              <c:pt idx="223">
                <c:v>16799</c:v>
              </c:pt>
              <c:pt idx="224">
                <c:v>17166</c:v>
              </c:pt>
              <c:pt idx="225">
                <c:v>16987</c:v>
              </c:pt>
              <c:pt idx="226">
                <c:v>17195</c:v>
              </c:pt>
              <c:pt idx="227">
                <c:v>17318</c:v>
              </c:pt>
              <c:pt idx="228">
                <c:v>16454</c:v>
              </c:pt>
              <c:pt idx="229">
                <c:v>16604</c:v>
              </c:pt>
              <c:pt idx="230">
                <c:v>16795</c:v>
              </c:pt>
              <c:pt idx="231">
                <c:v>17057</c:v>
              </c:pt>
              <c:pt idx="232">
                <c:v>17192</c:v>
              </c:pt>
              <c:pt idx="233">
                <c:v>16622</c:v>
              </c:pt>
              <c:pt idx="234">
                <c:v>17363</c:v>
              </c:pt>
              <c:pt idx="235">
                <c:v>17589</c:v>
              </c:pt>
              <c:pt idx="236">
                <c:v>17846</c:v>
              </c:pt>
              <c:pt idx="237">
                <c:v>17495</c:v>
              </c:pt>
              <c:pt idx="238">
                <c:v>17677</c:v>
              </c:pt>
              <c:pt idx="239">
                <c:v>17773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34516</c:v>
              </c:pt>
              <c:pt idx="1">
                <c:v>34547</c:v>
              </c:pt>
              <c:pt idx="2">
                <c:v>34578</c:v>
              </c:pt>
              <c:pt idx="3">
                <c:v>34608</c:v>
              </c:pt>
              <c:pt idx="4">
                <c:v>34639</c:v>
              </c:pt>
              <c:pt idx="5">
                <c:v>34669</c:v>
              </c:pt>
              <c:pt idx="6">
                <c:v>34700</c:v>
              </c:pt>
              <c:pt idx="7">
                <c:v>34731</c:v>
              </c:pt>
              <c:pt idx="8">
                <c:v>34759</c:v>
              </c:pt>
              <c:pt idx="9">
                <c:v>34790</c:v>
              </c:pt>
              <c:pt idx="10">
                <c:v>34820</c:v>
              </c:pt>
              <c:pt idx="11">
                <c:v>34851</c:v>
              </c:pt>
              <c:pt idx="12">
                <c:v>34881</c:v>
              </c:pt>
              <c:pt idx="13">
                <c:v>34912</c:v>
              </c:pt>
              <c:pt idx="14">
                <c:v>34943</c:v>
              </c:pt>
              <c:pt idx="15">
                <c:v>34973</c:v>
              </c:pt>
              <c:pt idx="16">
                <c:v>35004</c:v>
              </c:pt>
              <c:pt idx="17">
                <c:v>35034</c:v>
              </c:pt>
              <c:pt idx="18">
                <c:v>35065</c:v>
              </c:pt>
              <c:pt idx="19">
                <c:v>35096</c:v>
              </c:pt>
              <c:pt idx="20">
                <c:v>35125</c:v>
              </c:pt>
              <c:pt idx="21">
                <c:v>35156</c:v>
              </c:pt>
              <c:pt idx="22">
                <c:v>35186</c:v>
              </c:pt>
              <c:pt idx="23">
                <c:v>35217</c:v>
              </c:pt>
              <c:pt idx="24">
                <c:v>35247</c:v>
              </c:pt>
              <c:pt idx="25">
                <c:v>35278</c:v>
              </c:pt>
              <c:pt idx="26">
                <c:v>35309</c:v>
              </c:pt>
              <c:pt idx="27">
                <c:v>35339</c:v>
              </c:pt>
              <c:pt idx="28">
                <c:v>35370</c:v>
              </c:pt>
              <c:pt idx="29">
                <c:v>35400</c:v>
              </c:pt>
              <c:pt idx="30">
                <c:v>35431</c:v>
              </c:pt>
              <c:pt idx="31">
                <c:v>35462</c:v>
              </c:pt>
              <c:pt idx="32">
                <c:v>35490</c:v>
              </c:pt>
              <c:pt idx="33">
                <c:v>35521</c:v>
              </c:pt>
              <c:pt idx="34">
                <c:v>35551</c:v>
              </c:pt>
              <c:pt idx="35">
                <c:v>35582</c:v>
              </c:pt>
              <c:pt idx="36">
                <c:v>35612</c:v>
              </c:pt>
              <c:pt idx="37">
                <c:v>35643</c:v>
              </c:pt>
              <c:pt idx="38">
                <c:v>35674</c:v>
              </c:pt>
              <c:pt idx="39">
                <c:v>35704</c:v>
              </c:pt>
              <c:pt idx="40">
                <c:v>35735</c:v>
              </c:pt>
              <c:pt idx="41">
                <c:v>35765</c:v>
              </c:pt>
              <c:pt idx="42">
                <c:v>35796</c:v>
              </c:pt>
              <c:pt idx="43">
                <c:v>35827</c:v>
              </c:pt>
              <c:pt idx="44">
                <c:v>35855</c:v>
              </c:pt>
              <c:pt idx="45">
                <c:v>35886</c:v>
              </c:pt>
              <c:pt idx="46">
                <c:v>35916</c:v>
              </c:pt>
              <c:pt idx="47">
                <c:v>35947</c:v>
              </c:pt>
              <c:pt idx="48">
                <c:v>35977</c:v>
              </c:pt>
              <c:pt idx="49">
                <c:v>36008</c:v>
              </c:pt>
              <c:pt idx="50">
                <c:v>36039</c:v>
              </c:pt>
              <c:pt idx="51">
                <c:v>36069</c:v>
              </c:pt>
              <c:pt idx="52">
                <c:v>36100</c:v>
              </c:pt>
              <c:pt idx="53">
                <c:v>36130</c:v>
              </c:pt>
              <c:pt idx="54">
                <c:v>36161</c:v>
              </c:pt>
              <c:pt idx="55">
                <c:v>36192</c:v>
              </c:pt>
              <c:pt idx="56">
                <c:v>36220</c:v>
              </c:pt>
              <c:pt idx="57">
                <c:v>36251</c:v>
              </c:pt>
              <c:pt idx="58">
                <c:v>36281</c:v>
              </c:pt>
              <c:pt idx="59">
                <c:v>36312</c:v>
              </c:pt>
              <c:pt idx="60">
                <c:v>36342</c:v>
              </c:pt>
              <c:pt idx="61">
                <c:v>36373</c:v>
              </c:pt>
              <c:pt idx="62">
                <c:v>36404</c:v>
              </c:pt>
              <c:pt idx="63">
                <c:v>36434</c:v>
              </c:pt>
              <c:pt idx="64">
                <c:v>36465</c:v>
              </c:pt>
              <c:pt idx="65">
                <c:v>36495</c:v>
              </c:pt>
              <c:pt idx="66">
                <c:v>36526</c:v>
              </c:pt>
              <c:pt idx="67">
                <c:v>36557</c:v>
              </c:pt>
              <c:pt idx="68">
                <c:v>36586</c:v>
              </c:pt>
              <c:pt idx="69">
                <c:v>36617</c:v>
              </c:pt>
              <c:pt idx="70">
                <c:v>36647</c:v>
              </c:pt>
              <c:pt idx="71">
                <c:v>36678</c:v>
              </c:pt>
              <c:pt idx="72">
                <c:v>36708</c:v>
              </c:pt>
              <c:pt idx="73">
                <c:v>36739</c:v>
              </c:pt>
              <c:pt idx="74">
                <c:v>36770</c:v>
              </c:pt>
              <c:pt idx="75">
                <c:v>36800</c:v>
              </c:pt>
              <c:pt idx="76">
                <c:v>36831</c:v>
              </c:pt>
              <c:pt idx="77">
                <c:v>36861</c:v>
              </c:pt>
              <c:pt idx="78">
                <c:v>36892</c:v>
              </c:pt>
              <c:pt idx="79">
                <c:v>36923</c:v>
              </c:pt>
              <c:pt idx="80">
                <c:v>36951</c:v>
              </c:pt>
              <c:pt idx="81">
                <c:v>36982</c:v>
              </c:pt>
              <c:pt idx="82">
                <c:v>37012</c:v>
              </c:pt>
              <c:pt idx="83">
                <c:v>37043</c:v>
              </c:pt>
              <c:pt idx="84">
                <c:v>37073</c:v>
              </c:pt>
              <c:pt idx="85">
                <c:v>37104</c:v>
              </c:pt>
              <c:pt idx="86">
                <c:v>37135</c:v>
              </c:pt>
              <c:pt idx="87">
                <c:v>37165</c:v>
              </c:pt>
              <c:pt idx="88">
                <c:v>37196</c:v>
              </c:pt>
              <c:pt idx="89">
                <c:v>37226</c:v>
              </c:pt>
              <c:pt idx="90">
                <c:v>37257</c:v>
              </c:pt>
              <c:pt idx="91">
                <c:v>37288</c:v>
              </c:pt>
              <c:pt idx="92">
                <c:v>37316</c:v>
              </c:pt>
              <c:pt idx="93">
                <c:v>37347</c:v>
              </c:pt>
              <c:pt idx="94">
                <c:v>37377</c:v>
              </c:pt>
              <c:pt idx="95">
                <c:v>37408</c:v>
              </c:pt>
              <c:pt idx="96">
                <c:v>37438</c:v>
              </c:pt>
              <c:pt idx="97">
                <c:v>37469</c:v>
              </c:pt>
              <c:pt idx="98">
                <c:v>37500</c:v>
              </c:pt>
              <c:pt idx="99">
                <c:v>37530</c:v>
              </c:pt>
              <c:pt idx="100">
                <c:v>37561</c:v>
              </c:pt>
              <c:pt idx="101">
                <c:v>37591</c:v>
              </c:pt>
              <c:pt idx="102">
                <c:v>37622</c:v>
              </c:pt>
              <c:pt idx="103">
                <c:v>37653</c:v>
              </c:pt>
              <c:pt idx="104">
                <c:v>37681</c:v>
              </c:pt>
              <c:pt idx="105">
                <c:v>37712</c:v>
              </c:pt>
              <c:pt idx="106">
                <c:v>37742</c:v>
              </c:pt>
              <c:pt idx="107">
                <c:v>37773</c:v>
              </c:pt>
              <c:pt idx="108">
                <c:v>37803</c:v>
              </c:pt>
              <c:pt idx="109">
                <c:v>37834</c:v>
              </c:pt>
              <c:pt idx="110">
                <c:v>37865</c:v>
              </c:pt>
              <c:pt idx="111">
                <c:v>37895</c:v>
              </c:pt>
              <c:pt idx="112">
                <c:v>37926</c:v>
              </c:pt>
              <c:pt idx="113">
                <c:v>37956</c:v>
              </c:pt>
              <c:pt idx="114">
                <c:v>37987</c:v>
              </c:pt>
              <c:pt idx="115">
                <c:v>38018</c:v>
              </c:pt>
              <c:pt idx="116">
                <c:v>38047</c:v>
              </c:pt>
              <c:pt idx="117">
                <c:v>38078</c:v>
              </c:pt>
              <c:pt idx="118">
                <c:v>38108</c:v>
              </c:pt>
              <c:pt idx="119">
                <c:v>38139</c:v>
              </c:pt>
              <c:pt idx="120">
                <c:v>38169</c:v>
              </c:pt>
              <c:pt idx="121">
                <c:v>38200</c:v>
              </c:pt>
              <c:pt idx="122">
                <c:v>38231</c:v>
              </c:pt>
              <c:pt idx="123">
                <c:v>38261</c:v>
              </c:pt>
              <c:pt idx="124">
                <c:v>38292</c:v>
              </c:pt>
              <c:pt idx="125">
                <c:v>38322</c:v>
              </c:pt>
              <c:pt idx="126">
                <c:v>38353</c:v>
              </c:pt>
              <c:pt idx="127">
                <c:v>38384</c:v>
              </c:pt>
              <c:pt idx="128">
                <c:v>38412</c:v>
              </c:pt>
              <c:pt idx="129">
                <c:v>38443</c:v>
              </c:pt>
              <c:pt idx="130">
                <c:v>38473</c:v>
              </c:pt>
              <c:pt idx="131">
                <c:v>38504</c:v>
              </c:pt>
              <c:pt idx="132">
                <c:v>38534</c:v>
              </c:pt>
              <c:pt idx="133">
                <c:v>38565</c:v>
              </c:pt>
              <c:pt idx="134">
                <c:v>38596</c:v>
              </c:pt>
              <c:pt idx="135">
                <c:v>38626</c:v>
              </c:pt>
              <c:pt idx="136">
                <c:v>38657</c:v>
              </c:pt>
              <c:pt idx="137">
                <c:v>38687</c:v>
              </c:pt>
              <c:pt idx="138">
                <c:v>38718</c:v>
              </c:pt>
              <c:pt idx="139">
                <c:v>38749</c:v>
              </c:pt>
              <c:pt idx="140">
                <c:v>38777</c:v>
              </c:pt>
              <c:pt idx="141">
                <c:v>38808</c:v>
              </c:pt>
              <c:pt idx="142">
                <c:v>38838</c:v>
              </c:pt>
              <c:pt idx="143">
                <c:v>38869</c:v>
              </c:pt>
              <c:pt idx="144">
                <c:v>38899</c:v>
              </c:pt>
              <c:pt idx="145">
                <c:v>38930</c:v>
              </c:pt>
              <c:pt idx="146">
                <c:v>38961</c:v>
              </c:pt>
              <c:pt idx="147">
                <c:v>38991</c:v>
              </c:pt>
              <c:pt idx="148">
                <c:v>39022</c:v>
              </c:pt>
              <c:pt idx="149">
                <c:v>39052</c:v>
              </c:pt>
              <c:pt idx="150">
                <c:v>39083</c:v>
              </c:pt>
              <c:pt idx="151">
                <c:v>39114</c:v>
              </c:pt>
              <c:pt idx="152">
                <c:v>39142</c:v>
              </c:pt>
              <c:pt idx="153">
                <c:v>39173</c:v>
              </c:pt>
              <c:pt idx="154">
                <c:v>39203</c:v>
              </c:pt>
              <c:pt idx="155">
                <c:v>39234</c:v>
              </c:pt>
              <c:pt idx="156">
                <c:v>39264</c:v>
              </c:pt>
              <c:pt idx="157">
                <c:v>39295</c:v>
              </c:pt>
              <c:pt idx="158">
                <c:v>39326</c:v>
              </c:pt>
              <c:pt idx="159">
                <c:v>39356</c:v>
              </c:pt>
              <c:pt idx="160">
                <c:v>39387</c:v>
              </c:pt>
              <c:pt idx="161">
                <c:v>39417</c:v>
              </c:pt>
              <c:pt idx="162">
                <c:v>39448</c:v>
              </c:pt>
              <c:pt idx="163">
                <c:v>39479</c:v>
              </c:pt>
              <c:pt idx="164">
                <c:v>39508</c:v>
              </c:pt>
              <c:pt idx="165">
                <c:v>39539</c:v>
              </c:pt>
              <c:pt idx="166">
                <c:v>39569</c:v>
              </c:pt>
              <c:pt idx="167">
                <c:v>39600</c:v>
              </c:pt>
              <c:pt idx="168">
                <c:v>39630</c:v>
              </c:pt>
              <c:pt idx="169">
                <c:v>39661</c:v>
              </c:pt>
              <c:pt idx="170">
                <c:v>39692</c:v>
              </c:pt>
              <c:pt idx="171">
                <c:v>39722</c:v>
              </c:pt>
              <c:pt idx="172">
                <c:v>39753</c:v>
              </c:pt>
              <c:pt idx="173">
                <c:v>39783</c:v>
              </c:pt>
              <c:pt idx="174">
                <c:v>39814</c:v>
              </c:pt>
              <c:pt idx="175">
                <c:v>39845</c:v>
              </c:pt>
              <c:pt idx="176">
                <c:v>39873</c:v>
              </c:pt>
              <c:pt idx="177">
                <c:v>39904</c:v>
              </c:pt>
              <c:pt idx="178">
                <c:v>39934</c:v>
              </c:pt>
              <c:pt idx="179">
                <c:v>39965</c:v>
              </c:pt>
              <c:pt idx="180">
                <c:v>39995</c:v>
              </c:pt>
              <c:pt idx="181">
                <c:v>40026</c:v>
              </c:pt>
              <c:pt idx="182">
                <c:v>40057</c:v>
              </c:pt>
              <c:pt idx="183">
                <c:v>40087</c:v>
              </c:pt>
              <c:pt idx="184">
                <c:v>40118</c:v>
              </c:pt>
              <c:pt idx="185">
                <c:v>40148</c:v>
              </c:pt>
              <c:pt idx="186">
                <c:v>40179</c:v>
              </c:pt>
              <c:pt idx="187">
                <c:v>40210</c:v>
              </c:pt>
              <c:pt idx="188">
                <c:v>40238</c:v>
              </c:pt>
              <c:pt idx="189">
                <c:v>40269</c:v>
              </c:pt>
              <c:pt idx="190">
                <c:v>40299</c:v>
              </c:pt>
              <c:pt idx="191">
                <c:v>40330</c:v>
              </c:pt>
              <c:pt idx="192">
                <c:v>40360</c:v>
              </c:pt>
              <c:pt idx="193">
                <c:v>40391</c:v>
              </c:pt>
              <c:pt idx="194">
                <c:v>40422</c:v>
              </c:pt>
              <c:pt idx="195">
                <c:v>40452</c:v>
              </c:pt>
              <c:pt idx="196">
                <c:v>40483</c:v>
              </c:pt>
              <c:pt idx="197">
                <c:v>40513</c:v>
              </c:pt>
              <c:pt idx="198">
                <c:v>40544</c:v>
              </c:pt>
              <c:pt idx="199">
                <c:v>40575</c:v>
              </c:pt>
              <c:pt idx="200">
                <c:v>40603</c:v>
              </c:pt>
              <c:pt idx="201">
                <c:v>40634</c:v>
              </c:pt>
              <c:pt idx="202">
                <c:v>40664</c:v>
              </c:pt>
              <c:pt idx="203">
                <c:v>40695</c:v>
              </c:pt>
              <c:pt idx="204">
                <c:v>40756</c:v>
              </c:pt>
              <c:pt idx="205">
                <c:v>40787</c:v>
              </c:pt>
              <c:pt idx="206">
                <c:v>40817</c:v>
              </c:pt>
              <c:pt idx="207">
                <c:v>40848</c:v>
              </c:pt>
              <c:pt idx="208">
                <c:v>40878</c:v>
              </c:pt>
              <c:pt idx="209">
                <c:v>40909</c:v>
              </c:pt>
              <c:pt idx="210">
                <c:v>40940</c:v>
              </c:pt>
              <c:pt idx="211">
                <c:v>40969</c:v>
              </c:pt>
              <c:pt idx="212">
                <c:v>41000</c:v>
              </c:pt>
              <c:pt idx="213">
                <c:v>41030</c:v>
              </c:pt>
              <c:pt idx="214">
                <c:v>41061</c:v>
              </c:pt>
              <c:pt idx="215">
                <c:v>41091</c:v>
              </c:pt>
              <c:pt idx="216">
                <c:v>41122</c:v>
              </c:pt>
              <c:pt idx="217">
                <c:v>41153</c:v>
              </c:pt>
              <c:pt idx="218">
                <c:v>41183</c:v>
              </c:pt>
              <c:pt idx="219">
                <c:v>41214</c:v>
              </c:pt>
              <c:pt idx="220">
                <c:v>41244</c:v>
              </c:pt>
              <c:pt idx="221">
                <c:v>41275</c:v>
              </c:pt>
              <c:pt idx="222">
                <c:v>41306</c:v>
              </c:pt>
              <c:pt idx="223">
                <c:v>41334</c:v>
              </c:pt>
              <c:pt idx="224">
                <c:v>41365</c:v>
              </c:pt>
              <c:pt idx="225">
                <c:v>41395</c:v>
              </c:pt>
              <c:pt idx="226">
                <c:v>41426</c:v>
              </c:pt>
              <c:pt idx="227">
                <c:v>41456</c:v>
              </c:pt>
              <c:pt idx="228">
                <c:v>41487</c:v>
              </c:pt>
              <c:pt idx="229">
                <c:v>41518</c:v>
              </c:pt>
              <c:pt idx="230">
                <c:v>41548</c:v>
              </c:pt>
              <c:pt idx="231">
                <c:v>41579</c:v>
              </c:pt>
              <c:pt idx="232">
                <c:v>41609</c:v>
              </c:pt>
              <c:pt idx="233">
                <c:v>41640</c:v>
              </c:pt>
              <c:pt idx="234">
                <c:v>41671</c:v>
              </c:pt>
              <c:pt idx="235">
                <c:v>41699</c:v>
              </c:pt>
              <c:pt idx="236">
                <c:v>41730</c:v>
              </c:pt>
              <c:pt idx="237">
                <c:v>41760</c:v>
              </c:pt>
              <c:pt idx="238">
                <c:v>41791</c:v>
              </c:pt>
              <c:pt idx="239">
                <c:v>41821</c:v>
              </c:pt>
            </c:numLit>
          </c:cat>
          <c:val>
            <c:numLit>
              <c:formatCode>General</c:formatCode>
              <c:ptCount val="241"/>
              <c:pt idx="0">
                <c:v>35287</c:v>
              </c:pt>
              <c:pt idx="1">
                <c:v>34004</c:v>
              </c:pt>
              <c:pt idx="2">
                <c:v>32118</c:v>
              </c:pt>
              <c:pt idx="3">
                <c:v>31308</c:v>
              </c:pt>
              <c:pt idx="4">
                <c:v>31240</c:v>
              </c:pt>
              <c:pt idx="5">
                <c:v>31248</c:v>
              </c:pt>
              <c:pt idx="6">
                <c:v>30812</c:v>
              </c:pt>
              <c:pt idx="7">
                <c:v>31540</c:v>
              </c:pt>
              <c:pt idx="8">
                <c:v>32546</c:v>
              </c:pt>
              <c:pt idx="9">
                <c:v>34898</c:v>
              </c:pt>
              <c:pt idx="10">
                <c:v>34998</c:v>
              </c:pt>
              <c:pt idx="11">
                <c:v>35606</c:v>
              </c:pt>
              <c:pt idx="12">
                <c:v>36088</c:v>
              </c:pt>
              <c:pt idx="13">
                <c:v>34618</c:v>
              </c:pt>
              <c:pt idx="14">
                <c:v>31580</c:v>
              </c:pt>
              <c:pt idx="15">
                <c:v>31949</c:v>
              </c:pt>
              <c:pt idx="16">
                <c:v>32799</c:v>
              </c:pt>
              <c:pt idx="17">
                <c:v>33480</c:v>
              </c:pt>
              <c:pt idx="18">
                <c:v>33154</c:v>
              </c:pt>
              <c:pt idx="19">
                <c:v>33890</c:v>
              </c:pt>
              <c:pt idx="20">
                <c:v>34939</c:v>
              </c:pt>
              <c:pt idx="21">
                <c:v>35543</c:v>
              </c:pt>
              <c:pt idx="22">
                <c:v>36056</c:v>
              </c:pt>
              <c:pt idx="23">
                <c:v>36000</c:v>
              </c:pt>
              <c:pt idx="24">
                <c:v>36092</c:v>
              </c:pt>
              <c:pt idx="25">
                <c:v>34379</c:v>
              </c:pt>
              <c:pt idx="26">
                <c:v>32375</c:v>
              </c:pt>
              <c:pt idx="27">
                <c:v>32250</c:v>
              </c:pt>
              <c:pt idx="28">
                <c:v>32309</c:v>
              </c:pt>
              <c:pt idx="29">
                <c:v>32108</c:v>
              </c:pt>
              <c:pt idx="30">
                <c:v>31893</c:v>
              </c:pt>
              <c:pt idx="31">
                <c:v>32213</c:v>
              </c:pt>
              <c:pt idx="32">
                <c:v>32840</c:v>
              </c:pt>
              <c:pt idx="33">
                <c:v>34530</c:v>
              </c:pt>
              <c:pt idx="34">
                <c:v>34748</c:v>
              </c:pt>
              <c:pt idx="35">
                <c:v>34762</c:v>
              </c:pt>
              <c:pt idx="36">
                <c:v>35667</c:v>
              </c:pt>
              <c:pt idx="37">
                <c:v>34779</c:v>
              </c:pt>
              <c:pt idx="38">
                <c:v>32468</c:v>
              </c:pt>
              <c:pt idx="39">
                <c:v>32136</c:v>
              </c:pt>
              <c:pt idx="40">
                <c:v>32035</c:v>
              </c:pt>
              <c:pt idx="41">
                <c:v>32241</c:v>
              </c:pt>
              <c:pt idx="42">
                <c:v>32168</c:v>
              </c:pt>
              <c:pt idx="43">
                <c:v>33181</c:v>
              </c:pt>
              <c:pt idx="44">
                <c:v>33625</c:v>
              </c:pt>
              <c:pt idx="45">
                <c:v>34718</c:v>
              </c:pt>
              <c:pt idx="46">
                <c:v>34911</c:v>
              </c:pt>
              <c:pt idx="47">
                <c:v>35045</c:v>
              </c:pt>
              <c:pt idx="48">
                <c:v>35918</c:v>
              </c:pt>
              <c:pt idx="49">
                <c:v>35038</c:v>
              </c:pt>
              <c:pt idx="50">
                <c:v>33440</c:v>
              </c:pt>
              <c:pt idx="51">
                <c:v>32960</c:v>
              </c:pt>
              <c:pt idx="52">
                <c:v>32559</c:v>
              </c:pt>
              <c:pt idx="53">
                <c:v>33017</c:v>
              </c:pt>
              <c:pt idx="54">
                <c:v>32445</c:v>
              </c:pt>
              <c:pt idx="55">
                <c:v>33220</c:v>
              </c:pt>
              <c:pt idx="56">
                <c:v>34190</c:v>
              </c:pt>
              <c:pt idx="57">
                <c:v>35382</c:v>
              </c:pt>
              <c:pt idx="58">
                <c:v>35411</c:v>
              </c:pt>
              <c:pt idx="59">
                <c:v>35971</c:v>
              </c:pt>
              <c:pt idx="60">
                <c:v>36027</c:v>
              </c:pt>
              <c:pt idx="61">
                <c:v>35209</c:v>
              </c:pt>
              <c:pt idx="62">
                <c:v>33633</c:v>
              </c:pt>
              <c:pt idx="63">
                <c:v>32968</c:v>
              </c:pt>
              <c:pt idx="64">
                <c:v>32863</c:v>
              </c:pt>
              <c:pt idx="65">
                <c:v>32727</c:v>
              </c:pt>
              <c:pt idx="66">
                <c:v>31376</c:v>
              </c:pt>
              <c:pt idx="67">
                <c:v>30628</c:v>
              </c:pt>
              <c:pt idx="68">
                <c:v>32400</c:v>
              </c:pt>
              <c:pt idx="69">
                <c:v>32198</c:v>
              </c:pt>
              <c:pt idx="70">
                <c:v>32006</c:v>
              </c:pt>
              <c:pt idx="71">
                <c:v>33676</c:v>
              </c:pt>
              <c:pt idx="72">
                <c:v>34288</c:v>
              </c:pt>
              <c:pt idx="73">
                <c:v>33773</c:v>
              </c:pt>
              <c:pt idx="74">
                <c:v>31852</c:v>
              </c:pt>
              <c:pt idx="75">
                <c:v>31990</c:v>
              </c:pt>
              <c:pt idx="76">
                <c:v>31980</c:v>
              </c:pt>
              <c:pt idx="77">
                <c:v>32312</c:v>
              </c:pt>
              <c:pt idx="78">
                <c:v>31730</c:v>
              </c:pt>
              <c:pt idx="79">
                <c:v>32719</c:v>
              </c:pt>
              <c:pt idx="80">
                <c:v>33074</c:v>
              </c:pt>
              <c:pt idx="81">
                <c:v>33284</c:v>
              </c:pt>
              <c:pt idx="82">
                <c:v>33786</c:v>
              </c:pt>
              <c:pt idx="83">
                <c:v>34245</c:v>
              </c:pt>
              <c:pt idx="84">
                <c:v>34773</c:v>
              </c:pt>
              <c:pt idx="85">
                <c:v>33860</c:v>
              </c:pt>
              <c:pt idx="86">
                <c:v>32078</c:v>
              </c:pt>
              <c:pt idx="87">
                <c:v>31270</c:v>
              </c:pt>
              <c:pt idx="88">
                <c:v>31624</c:v>
              </c:pt>
              <c:pt idx="89">
                <c:v>32173</c:v>
              </c:pt>
              <c:pt idx="90">
                <c:v>32470</c:v>
              </c:pt>
              <c:pt idx="91">
                <c:v>32992</c:v>
              </c:pt>
              <c:pt idx="92">
                <c:v>33901</c:v>
              </c:pt>
              <c:pt idx="93">
                <c:v>34855</c:v>
              </c:pt>
              <c:pt idx="94">
                <c:v>36085</c:v>
              </c:pt>
              <c:pt idx="95">
                <c:v>36352</c:v>
              </c:pt>
              <c:pt idx="96">
                <c:v>37916</c:v>
              </c:pt>
              <c:pt idx="97">
                <c:v>37758</c:v>
              </c:pt>
              <c:pt idx="98">
                <c:v>34986</c:v>
              </c:pt>
              <c:pt idx="99">
                <c:v>34278</c:v>
              </c:pt>
              <c:pt idx="100">
                <c:v>34442</c:v>
              </c:pt>
              <c:pt idx="101">
                <c:v>34256</c:v>
              </c:pt>
              <c:pt idx="102">
                <c:v>34555</c:v>
              </c:pt>
              <c:pt idx="103">
                <c:v>35268</c:v>
              </c:pt>
              <c:pt idx="104">
                <c:v>35735</c:v>
              </c:pt>
              <c:pt idx="105">
                <c:v>36870</c:v>
              </c:pt>
              <c:pt idx="106">
                <c:v>37757</c:v>
              </c:pt>
              <c:pt idx="107">
                <c:v>38072</c:v>
              </c:pt>
              <c:pt idx="108">
                <c:v>39038</c:v>
              </c:pt>
              <c:pt idx="109">
                <c:v>38141</c:v>
              </c:pt>
              <c:pt idx="110">
                <c:v>36162</c:v>
              </c:pt>
              <c:pt idx="111">
                <c:v>35692</c:v>
              </c:pt>
              <c:pt idx="112">
                <c:v>36640</c:v>
              </c:pt>
              <c:pt idx="113">
                <c:v>37441</c:v>
              </c:pt>
              <c:pt idx="114">
                <c:v>37497</c:v>
              </c:pt>
              <c:pt idx="115">
                <c:v>38106</c:v>
              </c:pt>
              <c:pt idx="116">
                <c:v>39107</c:v>
              </c:pt>
              <c:pt idx="117">
                <c:v>40736</c:v>
              </c:pt>
              <c:pt idx="118">
                <c:v>41106</c:v>
              </c:pt>
              <c:pt idx="119">
                <c:v>42138</c:v>
              </c:pt>
              <c:pt idx="120">
                <c:v>42703</c:v>
              </c:pt>
              <c:pt idx="121">
                <c:v>38458</c:v>
              </c:pt>
              <c:pt idx="122">
                <c:v>37211</c:v>
              </c:pt>
              <c:pt idx="123">
                <c:v>36756</c:v>
              </c:pt>
              <c:pt idx="124">
                <c:v>38011</c:v>
              </c:pt>
              <c:pt idx="125">
                <c:v>39132</c:v>
              </c:pt>
              <c:pt idx="126">
                <c:v>39063</c:v>
              </c:pt>
              <c:pt idx="127">
                <c:v>38464</c:v>
              </c:pt>
              <c:pt idx="128">
                <c:v>38559</c:v>
              </c:pt>
              <c:pt idx="129">
                <c:v>39779</c:v>
              </c:pt>
              <c:pt idx="130">
                <c:v>39709</c:v>
              </c:pt>
              <c:pt idx="131">
                <c:v>40185</c:v>
              </c:pt>
              <c:pt idx="132">
                <c:v>41439</c:v>
              </c:pt>
              <c:pt idx="133">
                <c:v>39317</c:v>
              </c:pt>
              <c:pt idx="134">
                <c:v>37354</c:v>
              </c:pt>
              <c:pt idx="135">
                <c:v>37475</c:v>
              </c:pt>
              <c:pt idx="136">
                <c:v>38435</c:v>
              </c:pt>
              <c:pt idx="137">
                <c:v>39410</c:v>
              </c:pt>
              <c:pt idx="138">
                <c:v>39790</c:v>
              </c:pt>
              <c:pt idx="139">
                <c:v>40395</c:v>
              </c:pt>
              <c:pt idx="140">
                <c:v>41299</c:v>
              </c:pt>
              <c:pt idx="141">
                <c:v>41724</c:v>
              </c:pt>
              <c:pt idx="142">
                <c:v>41561</c:v>
              </c:pt>
              <c:pt idx="143">
                <c:v>40555</c:v>
              </c:pt>
              <c:pt idx="144">
                <c:v>40942</c:v>
              </c:pt>
              <c:pt idx="145">
                <c:v>39735</c:v>
              </c:pt>
              <c:pt idx="146">
                <c:v>38267</c:v>
              </c:pt>
              <c:pt idx="147">
                <c:v>37867</c:v>
              </c:pt>
              <c:pt idx="148">
                <c:v>39199</c:v>
              </c:pt>
              <c:pt idx="149">
                <c:v>40183</c:v>
              </c:pt>
              <c:pt idx="150">
                <c:v>39919</c:v>
              </c:pt>
              <c:pt idx="151">
                <c:v>40991</c:v>
              </c:pt>
              <c:pt idx="152">
                <c:v>41331</c:v>
              </c:pt>
              <c:pt idx="153">
                <c:v>42545</c:v>
              </c:pt>
              <c:pt idx="154">
                <c:v>42848</c:v>
              </c:pt>
              <c:pt idx="155">
                <c:v>43179</c:v>
              </c:pt>
              <c:pt idx="156">
                <c:v>43557</c:v>
              </c:pt>
              <c:pt idx="157">
                <c:v>44324</c:v>
              </c:pt>
              <c:pt idx="158">
                <c:v>43830</c:v>
              </c:pt>
              <c:pt idx="159">
                <c:v>43517</c:v>
              </c:pt>
              <c:pt idx="160">
                <c:v>44415</c:v>
              </c:pt>
              <c:pt idx="161">
                <c:v>44394</c:v>
              </c:pt>
              <c:pt idx="162">
                <c:v>44279</c:v>
              </c:pt>
              <c:pt idx="163">
                <c:v>44597</c:v>
              </c:pt>
              <c:pt idx="164">
                <c:v>45213</c:v>
              </c:pt>
              <c:pt idx="165">
                <c:v>45745</c:v>
              </c:pt>
              <c:pt idx="166">
                <c:v>46306</c:v>
              </c:pt>
              <c:pt idx="167">
                <c:v>46252</c:v>
              </c:pt>
              <c:pt idx="168">
                <c:v>46755</c:v>
              </c:pt>
              <c:pt idx="169">
                <c:v>47211</c:v>
              </c:pt>
              <c:pt idx="170">
                <c:v>46112</c:v>
              </c:pt>
              <c:pt idx="171">
                <c:v>46447</c:v>
              </c:pt>
              <c:pt idx="172">
                <c:v>46898</c:v>
              </c:pt>
              <c:pt idx="173">
                <c:v>46826</c:v>
              </c:pt>
              <c:pt idx="174">
                <c:v>46319</c:v>
              </c:pt>
              <c:pt idx="175">
                <c:v>46273</c:v>
              </c:pt>
              <c:pt idx="176">
                <c:v>46369</c:v>
              </c:pt>
              <c:pt idx="177">
                <c:v>47131</c:v>
              </c:pt>
              <c:pt idx="178">
                <c:v>47086</c:v>
              </c:pt>
              <c:pt idx="179">
                <c:v>46865</c:v>
              </c:pt>
              <c:pt idx="180">
                <c:v>47015</c:v>
              </c:pt>
              <c:pt idx="181">
                <c:v>47036</c:v>
              </c:pt>
              <c:pt idx="182">
                <c:v>46326</c:v>
              </c:pt>
              <c:pt idx="183">
                <c:v>46179</c:v>
              </c:pt>
              <c:pt idx="184">
                <c:v>46296</c:v>
              </c:pt>
              <c:pt idx="185">
                <c:v>46218</c:v>
              </c:pt>
              <c:pt idx="186">
                <c:v>45583</c:v>
              </c:pt>
              <c:pt idx="187">
                <c:v>45510</c:v>
              </c:pt>
              <c:pt idx="188">
                <c:v>45673</c:v>
              </c:pt>
              <c:pt idx="189">
                <c:v>45909</c:v>
              </c:pt>
              <c:pt idx="190">
                <c:v>45641</c:v>
              </c:pt>
              <c:pt idx="191">
                <c:v>45714</c:v>
              </c:pt>
              <c:pt idx="192">
                <c:v>46150</c:v>
              </c:pt>
              <c:pt idx="193">
                <c:v>45493</c:v>
              </c:pt>
              <c:pt idx="194">
                <c:v>45563</c:v>
              </c:pt>
              <c:pt idx="195">
                <c:v>45291</c:v>
              </c:pt>
              <c:pt idx="196">
                <c:v>45371</c:v>
              </c:pt>
              <c:pt idx="197">
                <c:v>45303</c:v>
              </c:pt>
              <c:pt idx="198">
                <c:v>44842</c:v>
              </c:pt>
              <c:pt idx="199">
                <c:v>45410</c:v>
              </c:pt>
              <c:pt idx="200">
                <c:v>45935</c:v>
              </c:pt>
              <c:pt idx="201">
                <c:v>47192</c:v>
              </c:pt>
              <c:pt idx="202">
                <c:v>47702</c:v>
              </c:pt>
              <c:pt idx="203">
                <c:v>48011</c:v>
              </c:pt>
              <c:pt idx="204">
                <c:v>47940</c:v>
              </c:pt>
              <c:pt idx="205">
                <c:v>47546</c:v>
              </c:pt>
              <c:pt idx="206">
                <c:v>47690</c:v>
              </c:pt>
              <c:pt idx="207">
                <c:v>48255</c:v>
              </c:pt>
              <c:pt idx="208">
                <c:v>48675</c:v>
              </c:pt>
              <c:pt idx="209">
                <c:v>48508</c:v>
              </c:pt>
              <c:pt idx="210">
                <c:v>49236</c:v>
              </c:pt>
              <c:pt idx="211">
                <c:v>49933</c:v>
              </c:pt>
              <c:pt idx="212">
                <c:v>50134</c:v>
              </c:pt>
              <c:pt idx="213">
                <c:v>50300</c:v>
              </c:pt>
              <c:pt idx="214">
                <c:v>50159</c:v>
              </c:pt>
              <c:pt idx="215">
                <c:v>50235</c:v>
              </c:pt>
              <c:pt idx="216">
                <c:v>50281</c:v>
              </c:pt>
              <c:pt idx="217">
                <c:v>49859</c:v>
              </c:pt>
              <c:pt idx="218">
                <c:v>49789</c:v>
              </c:pt>
              <c:pt idx="219">
                <c:v>50404</c:v>
              </c:pt>
              <c:pt idx="220">
                <c:v>50729</c:v>
              </c:pt>
              <c:pt idx="221">
                <c:v>50118</c:v>
              </c:pt>
              <c:pt idx="222">
                <c:v>49992</c:v>
              </c:pt>
              <c:pt idx="223">
                <c:v>50196</c:v>
              </c:pt>
              <c:pt idx="224">
                <c:v>50327</c:v>
              </c:pt>
              <c:pt idx="225">
                <c:v>50852</c:v>
              </c:pt>
              <c:pt idx="226">
                <c:v>50779</c:v>
              </c:pt>
              <c:pt idx="227">
                <c:v>51251</c:v>
              </c:pt>
              <c:pt idx="228">
                <c:v>51229</c:v>
              </c:pt>
              <c:pt idx="229">
                <c:v>50484</c:v>
              </c:pt>
              <c:pt idx="230">
                <c:v>50515</c:v>
              </c:pt>
              <c:pt idx="231">
                <c:v>49993</c:v>
              </c:pt>
              <c:pt idx="232">
                <c:v>50546</c:v>
              </c:pt>
              <c:pt idx="233">
                <c:v>50453</c:v>
              </c:pt>
              <c:pt idx="234">
                <c:v>50457</c:v>
              </c:pt>
              <c:pt idx="235">
                <c:v>50831</c:v>
              </c:pt>
              <c:pt idx="236">
                <c:v>51013</c:v>
              </c:pt>
              <c:pt idx="237">
                <c:v>51150</c:v>
              </c:pt>
              <c:pt idx="238">
                <c:v>50971</c:v>
              </c:pt>
              <c:pt idx="239">
                <c:v>50522</c:v>
              </c:pt>
            </c:numLit>
          </c:val>
          <c:smooth val="0"/>
        </c:ser>
        <c:ser>
          <c:idx val="2"/>
          <c:order val="2"/>
          <c:tx>
            <c:v>Ensemble de la population écrouée puis écrouée détenue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34516</c:v>
              </c:pt>
              <c:pt idx="1">
                <c:v>34547</c:v>
              </c:pt>
              <c:pt idx="2">
                <c:v>34578</c:v>
              </c:pt>
              <c:pt idx="3">
                <c:v>34608</c:v>
              </c:pt>
              <c:pt idx="4">
                <c:v>34639</c:v>
              </c:pt>
              <c:pt idx="5">
                <c:v>34669</c:v>
              </c:pt>
              <c:pt idx="6">
                <c:v>34700</c:v>
              </c:pt>
              <c:pt idx="7">
                <c:v>34731</c:v>
              </c:pt>
              <c:pt idx="8">
                <c:v>34759</c:v>
              </c:pt>
              <c:pt idx="9">
                <c:v>34790</c:v>
              </c:pt>
              <c:pt idx="10">
                <c:v>34820</c:v>
              </c:pt>
              <c:pt idx="11">
                <c:v>34851</c:v>
              </c:pt>
              <c:pt idx="12">
                <c:v>34881</c:v>
              </c:pt>
              <c:pt idx="13">
                <c:v>34912</c:v>
              </c:pt>
              <c:pt idx="14">
                <c:v>34943</c:v>
              </c:pt>
              <c:pt idx="15">
                <c:v>34973</c:v>
              </c:pt>
              <c:pt idx="16">
                <c:v>35004</c:v>
              </c:pt>
              <c:pt idx="17">
                <c:v>35034</c:v>
              </c:pt>
              <c:pt idx="18">
                <c:v>35065</c:v>
              </c:pt>
              <c:pt idx="19">
                <c:v>35096</c:v>
              </c:pt>
              <c:pt idx="20">
                <c:v>35125</c:v>
              </c:pt>
              <c:pt idx="21">
                <c:v>35156</c:v>
              </c:pt>
              <c:pt idx="22">
                <c:v>35186</c:v>
              </c:pt>
              <c:pt idx="23">
                <c:v>35217</c:v>
              </c:pt>
              <c:pt idx="24">
                <c:v>35247</c:v>
              </c:pt>
              <c:pt idx="25">
                <c:v>35278</c:v>
              </c:pt>
              <c:pt idx="26">
                <c:v>35309</c:v>
              </c:pt>
              <c:pt idx="27">
                <c:v>35339</c:v>
              </c:pt>
              <c:pt idx="28">
                <c:v>35370</c:v>
              </c:pt>
              <c:pt idx="29">
                <c:v>35400</c:v>
              </c:pt>
              <c:pt idx="30">
                <c:v>35431</c:v>
              </c:pt>
              <c:pt idx="31">
                <c:v>35462</c:v>
              </c:pt>
              <c:pt idx="32">
                <c:v>35490</c:v>
              </c:pt>
              <c:pt idx="33">
                <c:v>35521</c:v>
              </c:pt>
              <c:pt idx="34">
                <c:v>35551</c:v>
              </c:pt>
              <c:pt idx="35">
                <c:v>35582</c:v>
              </c:pt>
              <c:pt idx="36">
                <c:v>35612</c:v>
              </c:pt>
              <c:pt idx="37">
                <c:v>35643</c:v>
              </c:pt>
              <c:pt idx="38">
                <c:v>35674</c:v>
              </c:pt>
              <c:pt idx="39">
                <c:v>35704</c:v>
              </c:pt>
              <c:pt idx="40">
                <c:v>35735</c:v>
              </c:pt>
              <c:pt idx="41">
                <c:v>35765</c:v>
              </c:pt>
              <c:pt idx="42">
                <c:v>35796</c:v>
              </c:pt>
              <c:pt idx="43">
                <c:v>35827</c:v>
              </c:pt>
              <c:pt idx="44">
                <c:v>35855</c:v>
              </c:pt>
              <c:pt idx="45">
                <c:v>35886</c:v>
              </c:pt>
              <c:pt idx="46">
                <c:v>35916</c:v>
              </c:pt>
              <c:pt idx="47">
                <c:v>35947</c:v>
              </c:pt>
              <c:pt idx="48">
                <c:v>35977</c:v>
              </c:pt>
              <c:pt idx="49">
                <c:v>36008</c:v>
              </c:pt>
              <c:pt idx="50">
                <c:v>36039</c:v>
              </c:pt>
              <c:pt idx="51">
                <c:v>36069</c:v>
              </c:pt>
              <c:pt idx="52">
                <c:v>36100</c:v>
              </c:pt>
              <c:pt idx="53">
                <c:v>36130</c:v>
              </c:pt>
              <c:pt idx="54">
                <c:v>36161</c:v>
              </c:pt>
              <c:pt idx="55">
                <c:v>36192</c:v>
              </c:pt>
              <c:pt idx="56">
                <c:v>36220</c:v>
              </c:pt>
              <c:pt idx="57">
                <c:v>36251</c:v>
              </c:pt>
              <c:pt idx="58">
                <c:v>36281</c:v>
              </c:pt>
              <c:pt idx="59">
                <c:v>36312</c:v>
              </c:pt>
              <c:pt idx="60">
                <c:v>36342</c:v>
              </c:pt>
              <c:pt idx="61">
                <c:v>36373</c:v>
              </c:pt>
              <c:pt idx="62">
                <c:v>36404</c:v>
              </c:pt>
              <c:pt idx="63">
                <c:v>36434</c:v>
              </c:pt>
              <c:pt idx="64">
                <c:v>36465</c:v>
              </c:pt>
              <c:pt idx="65">
                <c:v>36495</c:v>
              </c:pt>
              <c:pt idx="66">
                <c:v>36526</c:v>
              </c:pt>
              <c:pt idx="67">
                <c:v>36557</c:v>
              </c:pt>
              <c:pt idx="68">
                <c:v>36586</c:v>
              </c:pt>
              <c:pt idx="69">
                <c:v>36617</c:v>
              </c:pt>
              <c:pt idx="70">
                <c:v>36647</c:v>
              </c:pt>
              <c:pt idx="71">
                <c:v>36678</c:v>
              </c:pt>
              <c:pt idx="72">
                <c:v>36708</c:v>
              </c:pt>
              <c:pt idx="73">
                <c:v>36739</c:v>
              </c:pt>
              <c:pt idx="74">
                <c:v>36770</c:v>
              </c:pt>
              <c:pt idx="75">
                <c:v>36800</c:v>
              </c:pt>
              <c:pt idx="76">
                <c:v>36831</c:v>
              </c:pt>
              <c:pt idx="77">
                <c:v>36861</c:v>
              </c:pt>
              <c:pt idx="78">
                <c:v>36892</c:v>
              </c:pt>
              <c:pt idx="79">
                <c:v>36923</c:v>
              </c:pt>
              <c:pt idx="80">
                <c:v>36951</c:v>
              </c:pt>
              <c:pt idx="81">
                <c:v>36982</c:v>
              </c:pt>
              <c:pt idx="82">
                <c:v>37012</c:v>
              </c:pt>
              <c:pt idx="83">
                <c:v>37043</c:v>
              </c:pt>
              <c:pt idx="84">
                <c:v>37073</c:v>
              </c:pt>
              <c:pt idx="85">
                <c:v>37104</c:v>
              </c:pt>
              <c:pt idx="86">
                <c:v>37135</c:v>
              </c:pt>
              <c:pt idx="87">
                <c:v>37165</c:v>
              </c:pt>
              <c:pt idx="88">
                <c:v>37196</c:v>
              </c:pt>
              <c:pt idx="89">
                <c:v>37226</c:v>
              </c:pt>
              <c:pt idx="90">
                <c:v>37257</c:v>
              </c:pt>
              <c:pt idx="91">
                <c:v>37288</c:v>
              </c:pt>
              <c:pt idx="92">
                <c:v>37316</c:v>
              </c:pt>
              <c:pt idx="93">
                <c:v>37347</c:v>
              </c:pt>
              <c:pt idx="94">
                <c:v>37377</c:v>
              </c:pt>
              <c:pt idx="95">
                <c:v>37408</c:v>
              </c:pt>
              <c:pt idx="96">
                <c:v>37438</c:v>
              </c:pt>
              <c:pt idx="97">
                <c:v>37469</c:v>
              </c:pt>
              <c:pt idx="98">
                <c:v>37500</c:v>
              </c:pt>
              <c:pt idx="99">
                <c:v>37530</c:v>
              </c:pt>
              <c:pt idx="100">
                <c:v>37561</c:v>
              </c:pt>
              <c:pt idx="101">
                <c:v>37591</c:v>
              </c:pt>
              <c:pt idx="102">
                <c:v>37622</c:v>
              </c:pt>
              <c:pt idx="103">
                <c:v>37653</c:v>
              </c:pt>
              <c:pt idx="104">
                <c:v>37681</c:v>
              </c:pt>
              <c:pt idx="105">
                <c:v>37712</c:v>
              </c:pt>
              <c:pt idx="106">
                <c:v>37742</c:v>
              </c:pt>
              <c:pt idx="107">
                <c:v>37773</c:v>
              </c:pt>
              <c:pt idx="108">
                <c:v>37803</c:v>
              </c:pt>
              <c:pt idx="109">
                <c:v>37834</c:v>
              </c:pt>
              <c:pt idx="110">
                <c:v>37865</c:v>
              </c:pt>
              <c:pt idx="111">
                <c:v>37895</c:v>
              </c:pt>
              <c:pt idx="112">
                <c:v>37926</c:v>
              </c:pt>
              <c:pt idx="113">
                <c:v>37956</c:v>
              </c:pt>
              <c:pt idx="114">
                <c:v>37987</c:v>
              </c:pt>
              <c:pt idx="115">
                <c:v>38018</c:v>
              </c:pt>
              <c:pt idx="116">
                <c:v>38047</c:v>
              </c:pt>
              <c:pt idx="117">
                <c:v>38078</c:v>
              </c:pt>
              <c:pt idx="118">
                <c:v>38108</c:v>
              </c:pt>
              <c:pt idx="119">
                <c:v>38139</c:v>
              </c:pt>
              <c:pt idx="120">
                <c:v>38169</c:v>
              </c:pt>
              <c:pt idx="121">
                <c:v>38200</c:v>
              </c:pt>
              <c:pt idx="122">
                <c:v>38231</c:v>
              </c:pt>
              <c:pt idx="123">
                <c:v>38261</c:v>
              </c:pt>
              <c:pt idx="124">
                <c:v>38292</c:v>
              </c:pt>
              <c:pt idx="125">
                <c:v>38322</c:v>
              </c:pt>
              <c:pt idx="126">
                <c:v>38353</c:v>
              </c:pt>
              <c:pt idx="127">
                <c:v>38384</c:v>
              </c:pt>
              <c:pt idx="128">
                <c:v>38412</c:v>
              </c:pt>
              <c:pt idx="129">
                <c:v>38443</c:v>
              </c:pt>
              <c:pt idx="130">
                <c:v>38473</c:v>
              </c:pt>
              <c:pt idx="131">
                <c:v>38504</c:v>
              </c:pt>
              <c:pt idx="132">
                <c:v>38534</c:v>
              </c:pt>
              <c:pt idx="133">
                <c:v>38565</c:v>
              </c:pt>
              <c:pt idx="134">
                <c:v>38596</c:v>
              </c:pt>
              <c:pt idx="135">
                <c:v>38626</c:v>
              </c:pt>
              <c:pt idx="136">
                <c:v>38657</c:v>
              </c:pt>
              <c:pt idx="137">
                <c:v>38687</c:v>
              </c:pt>
              <c:pt idx="138">
                <c:v>38718</c:v>
              </c:pt>
              <c:pt idx="139">
                <c:v>38749</c:v>
              </c:pt>
              <c:pt idx="140">
                <c:v>38777</c:v>
              </c:pt>
              <c:pt idx="141">
                <c:v>38808</c:v>
              </c:pt>
              <c:pt idx="142">
                <c:v>38838</c:v>
              </c:pt>
              <c:pt idx="143">
                <c:v>38869</c:v>
              </c:pt>
              <c:pt idx="144">
                <c:v>38899</c:v>
              </c:pt>
              <c:pt idx="145">
                <c:v>38930</c:v>
              </c:pt>
              <c:pt idx="146">
                <c:v>38961</c:v>
              </c:pt>
              <c:pt idx="147">
                <c:v>38991</c:v>
              </c:pt>
              <c:pt idx="148">
                <c:v>39022</c:v>
              </c:pt>
              <c:pt idx="149">
                <c:v>39052</c:v>
              </c:pt>
              <c:pt idx="150">
                <c:v>39083</c:v>
              </c:pt>
              <c:pt idx="151">
                <c:v>39114</c:v>
              </c:pt>
              <c:pt idx="152">
                <c:v>39142</c:v>
              </c:pt>
              <c:pt idx="153">
                <c:v>39173</c:v>
              </c:pt>
              <c:pt idx="154">
                <c:v>39203</c:v>
              </c:pt>
              <c:pt idx="155">
                <c:v>39234</c:v>
              </c:pt>
              <c:pt idx="156">
                <c:v>39264</c:v>
              </c:pt>
              <c:pt idx="157">
                <c:v>39295</c:v>
              </c:pt>
              <c:pt idx="158">
                <c:v>39326</c:v>
              </c:pt>
              <c:pt idx="159">
                <c:v>39356</c:v>
              </c:pt>
              <c:pt idx="160">
                <c:v>39387</c:v>
              </c:pt>
              <c:pt idx="161">
                <c:v>39417</c:v>
              </c:pt>
              <c:pt idx="162">
                <c:v>39448</c:v>
              </c:pt>
              <c:pt idx="163">
                <c:v>39479</c:v>
              </c:pt>
              <c:pt idx="164">
                <c:v>39508</c:v>
              </c:pt>
              <c:pt idx="165">
                <c:v>39539</c:v>
              </c:pt>
              <c:pt idx="166">
                <c:v>39569</c:v>
              </c:pt>
              <c:pt idx="167">
                <c:v>39600</c:v>
              </c:pt>
              <c:pt idx="168">
                <c:v>39630</c:v>
              </c:pt>
              <c:pt idx="169">
                <c:v>39661</c:v>
              </c:pt>
              <c:pt idx="170">
                <c:v>39692</c:v>
              </c:pt>
              <c:pt idx="171">
                <c:v>39722</c:v>
              </c:pt>
              <c:pt idx="172">
                <c:v>39753</c:v>
              </c:pt>
              <c:pt idx="173">
                <c:v>39783</c:v>
              </c:pt>
              <c:pt idx="174">
                <c:v>39814</c:v>
              </c:pt>
              <c:pt idx="175">
                <c:v>39845</c:v>
              </c:pt>
              <c:pt idx="176">
                <c:v>39873</c:v>
              </c:pt>
              <c:pt idx="177">
                <c:v>39904</c:v>
              </c:pt>
              <c:pt idx="178">
                <c:v>39934</c:v>
              </c:pt>
              <c:pt idx="179">
                <c:v>39965</c:v>
              </c:pt>
              <c:pt idx="180">
                <c:v>39995</c:v>
              </c:pt>
              <c:pt idx="181">
                <c:v>40026</c:v>
              </c:pt>
              <c:pt idx="182">
                <c:v>40057</c:v>
              </c:pt>
              <c:pt idx="183">
                <c:v>40087</c:v>
              </c:pt>
              <c:pt idx="184">
                <c:v>40118</c:v>
              </c:pt>
              <c:pt idx="185">
                <c:v>40148</c:v>
              </c:pt>
              <c:pt idx="186">
                <c:v>40179</c:v>
              </c:pt>
              <c:pt idx="187">
                <c:v>40210</c:v>
              </c:pt>
              <c:pt idx="188">
                <c:v>40238</c:v>
              </c:pt>
              <c:pt idx="189">
                <c:v>40269</c:v>
              </c:pt>
              <c:pt idx="190">
                <c:v>40299</c:v>
              </c:pt>
              <c:pt idx="191">
                <c:v>40330</c:v>
              </c:pt>
              <c:pt idx="192">
                <c:v>40360</c:v>
              </c:pt>
              <c:pt idx="193">
                <c:v>40391</c:v>
              </c:pt>
              <c:pt idx="194">
                <c:v>40422</c:v>
              </c:pt>
              <c:pt idx="195">
                <c:v>40452</c:v>
              </c:pt>
              <c:pt idx="196">
                <c:v>40483</c:v>
              </c:pt>
              <c:pt idx="197">
                <c:v>40513</c:v>
              </c:pt>
              <c:pt idx="198">
                <c:v>40544</c:v>
              </c:pt>
              <c:pt idx="199">
                <c:v>40575</c:v>
              </c:pt>
              <c:pt idx="200">
                <c:v>40603</c:v>
              </c:pt>
              <c:pt idx="201">
                <c:v>40634</c:v>
              </c:pt>
              <c:pt idx="202">
                <c:v>40664</c:v>
              </c:pt>
              <c:pt idx="203">
                <c:v>40695</c:v>
              </c:pt>
              <c:pt idx="204">
                <c:v>40756</c:v>
              </c:pt>
              <c:pt idx="205">
                <c:v>40787</c:v>
              </c:pt>
              <c:pt idx="206">
                <c:v>40817</c:v>
              </c:pt>
              <c:pt idx="207">
                <c:v>40848</c:v>
              </c:pt>
              <c:pt idx="208">
                <c:v>40878</c:v>
              </c:pt>
              <c:pt idx="209">
                <c:v>40909</c:v>
              </c:pt>
              <c:pt idx="210">
                <c:v>40940</c:v>
              </c:pt>
              <c:pt idx="211">
                <c:v>40969</c:v>
              </c:pt>
              <c:pt idx="212">
                <c:v>41000</c:v>
              </c:pt>
              <c:pt idx="213">
                <c:v>41030</c:v>
              </c:pt>
              <c:pt idx="214">
                <c:v>41061</c:v>
              </c:pt>
              <c:pt idx="215">
                <c:v>41091</c:v>
              </c:pt>
              <c:pt idx="216">
                <c:v>41122</c:v>
              </c:pt>
              <c:pt idx="217">
                <c:v>41153</c:v>
              </c:pt>
              <c:pt idx="218">
                <c:v>41183</c:v>
              </c:pt>
              <c:pt idx="219">
                <c:v>41214</c:v>
              </c:pt>
              <c:pt idx="220">
                <c:v>41244</c:v>
              </c:pt>
              <c:pt idx="221">
                <c:v>41275</c:v>
              </c:pt>
              <c:pt idx="222">
                <c:v>41306</c:v>
              </c:pt>
              <c:pt idx="223">
                <c:v>41334</c:v>
              </c:pt>
              <c:pt idx="224">
                <c:v>41365</c:v>
              </c:pt>
              <c:pt idx="225">
                <c:v>41395</c:v>
              </c:pt>
              <c:pt idx="226">
                <c:v>41426</c:v>
              </c:pt>
              <c:pt idx="227">
                <c:v>41456</c:v>
              </c:pt>
              <c:pt idx="228">
                <c:v>41487</c:v>
              </c:pt>
              <c:pt idx="229">
                <c:v>41518</c:v>
              </c:pt>
              <c:pt idx="230">
                <c:v>41548</c:v>
              </c:pt>
              <c:pt idx="231">
                <c:v>41579</c:v>
              </c:pt>
              <c:pt idx="232">
                <c:v>41609</c:v>
              </c:pt>
              <c:pt idx="233">
                <c:v>41640</c:v>
              </c:pt>
              <c:pt idx="234">
                <c:v>41671</c:v>
              </c:pt>
              <c:pt idx="235">
                <c:v>41699</c:v>
              </c:pt>
              <c:pt idx="236">
                <c:v>41730</c:v>
              </c:pt>
              <c:pt idx="237">
                <c:v>41760</c:v>
              </c:pt>
              <c:pt idx="238">
                <c:v>41791</c:v>
              </c:pt>
              <c:pt idx="239">
                <c:v>41821</c:v>
              </c:pt>
            </c:numLit>
          </c:cat>
          <c:val>
            <c:numLit>
              <c:formatCode>General</c:formatCode>
              <c:ptCount val="241"/>
              <c:pt idx="0">
                <c:v>57783</c:v>
              </c:pt>
              <c:pt idx="1">
                <c:v>55448</c:v>
              </c:pt>
              <c:pt idx="2">
                <c:v>53758</c:v>
              </c:pt>
              <c:pt idx="3">
                <c:v>53581</c:v>
              </c:pt>
              <c:pt idx="4">
                <c:v>54271</c:v>
              </c:pt>
              <c:pt idx="5">
                <c:v>54675</c:v>
              </c:pt>
              <c:pt idx="6">
                <c:v>53905</c:v>
              </c:pt>
              <c:pt idx="7">
                <c:v>55428</c:v>
              </c:pt>
              <c:pt idx="8">
                <c:v>56622</c:v>
              </c:pt>
              <c:pt idx="9">
                <c:v>57667</c:v>
              </c:pt>
              <c:pt idx="10">
                <c:v>57782</c:v>
              </c:pt>
              <c:pt idx="11">
                <c:v>57638</c:v>
              </c:pt>
              <c:pt idx="12">
                <c:v>58170</c:v>
              </c:pt>
              <c:pt idx="13">
                <c:v>56145</c:v>
              </c:pt>
              <c:pt idx="14">
                <c:v>53178</c:v>
              </c:pt>
              <c:pt idx="15">
                <c:v>53631</c:v>
              </c:pt>
              <c:pt idx="16">
                <c:v>55289</c:v>
              </c:pt>
              <c:pt idx="17">
                <c:v>56402</c:v>
              </c:pt>
              <c:pt idx="18">
                <c:v>55043</c:v>
              </c:pt>
              <c:pt idx="19">
                <c:v>56582</c:v>
              </c:pt>
              <c:pt idx="20">
                <c:v>57744</c:v>
              </c:pt>
              <c:pt idx="21">
                <c:v>58705</c:v>
              </c:pt>
              <c:pt idx="22">
                <c:v>58823</c:v>
              </c:pt>
              <c:pt idx="23">
                <c:v>58856</c:v>
              </c:pt>
              <c:pt idx="24">
                <c:v>58616</c:v>
              </c:pt>
              <c:pt idx="25">
                <c:v>55833</c:v>
              </c:pt>
              <c:pt idx="26">
                <c:v>54014</c:v>
              </c:pt>
              <c:pt idx="27">
                <c:v>54222</c:v>
              </c:pt>
              <c:pt idx="28">
                <c:v>54731</c:v>
              </c:pt>
              <c:pt idx="29">
                <c:v>55096</c:v>
              </c:pt>
              <c:pt idx="30">
                <c:v>54496</c:v>
              </c:pt>
              <c:pt idx="31">
                <c:v>55584</c:v>
              </c:pt>
              <c:pt idx="32">
                <c:v>56625</c:v>
              </c:pt>
              <c:pt idx="33">
                <c:v>57836</c:v>
              </c:pt>
              <c:pt idx="34">
                <c:v>57379</c:v>
              </c:pt>
              <c:pt idx="35">
                <c:v>57620</c:v>
              </c:pt>
              <c:pt idx="36">
                <c:v>58366</c:v>
              </c:pt>
              <c:pt idx="37">
                <c:v>56411</c:v>
              </c:pt>
              <c:pt idx="38">
                <c:v>54442</c:v>
              </c:pt>
              <c:pt idx="39">
                <c:v>53976</c:v>
              </c:pt>
              <c:pt idx="40">
                <c:v>54294</c:v>
              </c:pt>
              <c:pt idx="41">
                <c:v>55061</c:v>
              </c:pt>
              <c:pt idx="42">
                <c:v>53844</c:v>
              </c:pt>
              <c:pt idx="43">
                <c:v>55393</c:v>
              </c:pt>
              <c:pt idx="44">
                <c:v>56230</c:v>
              </c:pt>
              <c:pt idx="45">
                <c:v>57386</c:v>
              </c:pt>
              <c:pt idx="46">
                <c:v>57093</c:v>
              </c:pt>
              <c:pt idx="47">
                <c:v>56957</c:v>
              </c:pt>
              <c:pt idx="48">
                <c:v>57458</c:v>
              </c:pt>
              <c:pt idx="49">
                <c:v>55416</c:v>
              </c:pt>
              <c:pt idx="50">
                <c:v>53607</c:v>
              </c:pt>
              <c:pt idx="51">
                <c:v>53259</c:v>
              </c:pt>
              <c:pt idx="52">
                <c:v>53650</c:v>
              </c:pt>
              <c:pt idx="53">
                <c:v>54103</c:v>
              </c:pt>
              <c:pt idx="54">
                <c:v>53055</c:v>
              </c:pt>
              <c:pt idx="55">
                <c:v>54509</c:v>
              </c:pt>
              <c:pt idx="56">
                <c:v>55677</c:v>
              </c:pt>
              <c:pt idx="57">
                <c:v>56837</c:v>
              </c:pt>
              <c:pt idx="58">
                <c:v>56608</c:v>
              </c:pt>
              <c:pt idx="59">
                <c:v>57360</c:v>
              </c:pt>
              <c:pt idx="60">
                <c:v>57918</c:v>
              </c:pt>
              <c:pt idx="61">
                <c:v>55948</c:v>
              </c:pt>
              <c:pt idx="62">
                <c:v>53948</c:v>
              </c:pt>
              <c:pt idx="63">
                <c:v>53543</c:v>
              </c:pt>
              <c:pt idx="64">
                <c:v>53629</c:v>
              </c:pt>
              <c:pt idx="65">
                <c:v>53926</c:v>
              </c:pt>
              <c:pt idx="66">
                <c:v>51903</c:v>
              </c:pt>
              <c:pt idx="67">
                <c:v>51364</c:v>
              </c:pt>
              <c:pt idx="68">
                <c:v>51152</c:v>
              </c:pt>
              <c:pt idx="69">
                <c:v>51528</c:v>
              </c:pt>
              <c:pt idx="70">
                <c:v>51534</c:v>
              </c:pt>
              <c:pt idx="71">
                <c:v>51518</c:v>
              </c:pt>
              <c:pt idx="72">
                <c:v>52070</c:v>
              </c:pt>
              <c:pt idx="73">
                <c:v>50480</c:v>
              </c:pt>
              <c:pt idx="74">
                <c:v>48835</c:v>
              </c:pt>
              <c:pt idx="75">
                <c:v>48831</c:v>
              </c:pt>
              <c:pt idx="76">
                <c:v>48912</c:v>
              </c:pt>
              <c:pt idx="77">
                <c:v>49380</c:v>
              </c:pt>
              <c:pt idx="78">
                <c:v>47837</c:v>
              </c:pt>
              <c:pt idx="79">
                <c:v>47992</c:v>
              </c:pt>
              <c:pt idx="80">
                <c:v>48092</c:v>
              </c:pt>
              <c:pt idx="81">
                <c:v>48955</c:v>
              </c:pt>
              <c:pt idx="82">
                <c:v>49018</c:v>
              </c:pt>
              <c:pt idx="83">
                <c:v>49364</c:v>
              </c:pt>
              <c:pt idx="84">
                <c:v>49718</c:v>
              </c:pt>
              <c:pt idx="85">
                <c:v>48397</c:v>
              </c:pt>
              <c:pt idx="86">
                <c:v>47005</c:v>
              </c:pt>
              <c:pt idx="87">
                <c:v>46968</c:v>
              </c:pt>
              <c:pt idx="88">
                <c:v>47727</c:v>
              </c:pt>
              <c:pt idx="89">
                <c:v>48741</c:v>
              </c:pt>
              <c:pt idx="90">
                <c:v>48594</c:v>
              </c:pt>
              <c:pt idx="91">
                <c:v>50310</c:v>
              </c:pt>
              <c:pt idx="92">
                <c:v>51549</c:v>
              </c:pt>
              <c:pt idx="93">
                <c:v>53183</c:v>
              </c:pt>
              <c:pt idx="94">
                <c:v>54113</c:v>
              </c:pt>
              <c:pt idx="95">
                <c:v>54950</c:v>
              </c:pt>
              <c:pt idx="96">
                <c:v>56385</c:v>
              </c:pt>
              <c:pt idx="97">
                <c:v>55879</c:v>
              </c:pt>
              <c:pt idx="98">
                <c:v>53463</c:v>
              </c:pt>
              <c:pt idx="99">
                <c:v>53680</c:v>
              </c:pt>
              <c:pt idx="100">
                <c:v>54545</c:v>
              </c:pt>
              <c:pt idx="101">
                <c:v>55471</c:v>
              </c:pt>
              <c:pt idx="102">
                <c:v>55407</c:v>
              </c:pt>
              <c:pt idx="103">
                <c:v>56770</c:v>
              </c:pt>
              <c:pt idx="104">
                <c:v>57621</c:v>
              </c:pt>
              <c:pt idx="105">
                <c:v>59155</c:v>
              </c:pt>
              <c:pt idx="106">
                <c:v>59871</c:v>
              </c:pt>
              <c:pt idx="107">
                <c:v>60513</c:v>
              </c:pt>
              <c:pt idx="108">
                <c:v>60963</c:v>
              </c:pt>
              <c:pt idx="109">
                <c:v>59169</c:v>
              </c:pt>
              <c:pt idx="110">
                <c:v>57440</c:v>
              </c:pt>
              <c:pt idx="111">
                <c:v>57573</c:v>
              </c:pt>
              <c:pt idx="112">
                <c:v>58661</c:v>
              </c:pt>
              <c:pt idx="113">
                <c:v>59741</c:v>
              </c:pt>
              <c:pt idx="114">
                <c:v>58942</c:v>
              </c:pt>
              <c:pt idx="115">
                <c:v>60536</c:v>
              </c:pt>
              <c:pt idx="116">
                <c:v>61032</c:v>
              </c:pt>
              <c:pt idx="117">
                <c:v>62569</c:v>
              </c:pt>
              <c:pt idx="118">
                <c:v>62902</c:v>
              </c:pt>
              <c:pt idx="119">
                <c:v>63448</c:v>
              </c:pt>
              <c:pt idx="120">
                <c:v>63652</c:v>
              </c:pt>
              <c:pt idx="121">
                <c:v>58308</c:v>
              </c:pt>
              <c:pt idx="122">
                <c:v>56271</c:v>
              </c:pt>
              <c:pt idx="123">
                <c:v>56620</c:v>
              </c:pt>
              <c:pt idx="124">
                <c:v>57950</c:v>
              </c:pt>
              <c:pt idx="125">
                <c:v>58989</c:v>
              </c:pt>
              <c:pt idx="126">
                <c:v>58231</c:v>
              </c:pt>
              <c:pt idx="127">
                <c:v>58275</c:v>
              </c:pt>
              <c:pt idx="128">
                <c:v>58652</c:v>
              </c:pt>
              <c:pt idx="129">
                <c:v>59372</c:v>
              </c:pt>
              <c:pt idx="130">
                <c:v>59563</c:v>
              </c:pt>
              <c:pt idx="131">
                <c:v>59786</c:v>
              </c:pt>
              <c:pt idx="132">
                <c:v>60925</c:v>
              </c:pt>
              <c:pt idx="133">
                <c:v>58033</c:v>
              </c:pt>
              <c:pt idx="134">
                <c:v>56595</c:v>
              </c:pt>
              <c:pt idx="135">
                <c:v>57163</c:v>
              </c:pt>
              <c:pt idx="136">
                <c:v>58082</c:v>
              </c:pt>
              <c:pt idx="137">
                <c:v>59241</c:v>
              </c:pt>
              <c:pt idx="138">
                <c:v>58344</c:v>
              </c:pt>
              <c:pt idx="139">
                <c:v>59248</c:v>
              </c:pt>
              <c:pt idx="140">
                <c:v>59167</c:v>
              </c:pt>
              <c:pt idx="141">
                <c:v>59456</c:v>
              </c:pt>
              <c:pt idx="142">
                <c:v>59035</c:v>
              </c:pt>
              <c:pt idx="143">
                <c:v>59303</c:v>
              </c:pt>
              <c:pt idx="144">
                <c:v>59488</c:v>
              </c:pt>
              <c:pt idx="145">
                <c:v>56806</c:v>
              </c:pt>
              <c:pt idx="146">
                <c:v>55754</c:v>
              </c:pt>
              <c:pt idx="147">
                <c:v>56311</c:v>
              </c:pt>
              <c:pt idx="148">
                <c:v>57612</c:v>
              </c:pt>
              <c:pt idx="149">
                <c:v>59015</c:v>
              </c:pt>
              <c:pt idx="150">
                <c:v>58402</c:v>
              </c:pt>
              <c:pt idx="151">
                <c:v>59288</c:v>
              </c:pt>
              <c:pt idx="152">
                <c:v>59892</c:v>
              </c:pt>
              <c:pt idx="153">
                <c:v>60771</c:v>
              </c:pt>
              <c:pt idx="154">
                <c:v>60698</c:v>
              </c:pt>
              <c:pt idx="155">
                <c:v>60870</c:v>
              </c:pt>
              <c:pt idx="156">
                <c:v>61780</c:v>
              </c:pt>
              <c:pt idx="157">
                <c:v>61289</c:v>
              </c:pt>
              <c:pt idx="158">
                <c:v>60677</c:v>
              </c:pt>
              <c:pt idx="159">
                <c:v>61063</c:v>
              </c:pt>
              <c:pt idx="160">
                <c:v>61763</c:v>
              </c:pt>
              <c:pt idx="161">
                <c:v>62009</c:v>
              </c:pt>
              <c:pt idx="162">
                <c:v>61076</c:v>
              </c:pt>
              <c:pt idx="163">
                <c:v>62094</c:v>
              </c:pt>
              <c:pt idx="164">
                <c:v>62586</c:v>
              </c:pt>
              <c:pt idx="165">
                <c:v>63211</c:v>
              </c:pt>
              <c:pt idx="166">
                <c:v>63645</c:v>
              </c:pt>
              <c:pt idx="167">
                <c:v>63838</c:v>
              </c:pt>
              <c:pt idx="168">
                <c:v>64250</c:v>
              </c:pt>
              <c:pt idx="169">
                <c:v>63783</c:v>
              </c:pt>
              <c:pt idx="170">
                <c:v>62843</c:v>
              </c:pt>
              <c:pt idx="171">
                <c:v>63185</c:v>
              </c:pt>
              <c:pt idx="172">
                <c:v>63750</c:v>
              </c:pt>
              <c:pt idx="173">
                <c:v>63619</c:v>
              </c:pt>
              <c:pt idx="174">
                <c:v>62252</c:v>
              </c:pt>
              <c:pt idx="175">
                <c:v>62744</c:v>
              </c:pt>
              <c:pt idx="176">
                <c:v>62700</c:v>
              </c:pt>
              <c:pt idx="177">
                <c:v>63351</c:v>
              </c:pt>
              <c:pt idx="178">
                <c:v>63397</c:v>
              </c:pt>
              <c:pt idx="179">
                <c:v>63277</c:v>
              </c:pt>
              <c:pt idx="180">
                <c:v>63189</c:v>
              </c:pt>
              <c:pt idx="181">
                <c:v>62420</c:v>
              </c:pt>
              <c:pt idx="182">
                <c:v>61787</c:v>
              </c:pt>
              <c:pt idx="183">
                <c:v>61781</c:v>
              </c:pt>
              <c:pt idx="184">
                <c:v>62073</c:v>
              </c:pt>
              <c:pt idx="185">
                <c:v>62181</c:v>
              </c:pt>
              <c:pt idx="186">
                <c:v>60978</c:v>
              </c:pt>
              <c:pt idx="187">
                <c:v>61363</c:v>
              </c:pt>
              <c:pt idx="188">
                <c:v>61353</c:v>
              </c:pt>
              <c:pt idx="189">
                <c:v>61706</c:v>
              </c:pt>
              <c:pt idx="190">
                <c:v>61604</c:v>
              </c:pt>
              <c:pt idx="191">
                <c:v>61656</c:v>
              </c:pt>
              <c:pt idx="192">
                <c:v>62113</c:v>
              </c:pt>
              <c:pt idx="193">
                <c:v>60881</c:v>
              </c:pt>
              <c:pt idx="194">
                <c:v>60789</c:v>
              </c:pt>
              <c:pt idx="195">
                <c:v>61142</c:v>
              </c:pt>
              <c:pt idx="196">
                <c:v>61428</c:v>
              </c:pt>
              <c:pt idx="197">
                <c:v>61473</c:v>
              </c:pt>
              <c:pt idx="198">
                <c:v>60544</c:v>
              </c:pt>
              <c:pt idx="199">
                <c:v>61771</c:v>
              </c:pt>
              <c:pt idx="200">
                <c:v>62685</c:v>
              </c:pt>
              <c:pt idx="201">
                <c:v>64148</c:v>
              </c:pt>
              <c:pt idx="202">
                <c:v>64584</c:v>
              </c:pt>
              <c:pt idx="203">
                <c:v>64971</c:v>
              </c:pt>
              <c:pt idx="204">
                <c:v>64053</c:v>
              </c:pt>
              <c:pt idx="205">
                <c:v>63602</c:v>
              </c:pt>
              <c:pt idx="206">
                <c:v>64147</c:v>
              </c:pt>
              <c:pt idx="207">
                <c:v>64711</c:v>
              </c:pt>
              <c:pt idx="208">
                <c:v>65262</c:v>
              </c:pt>
              <c:pt idx="209">
                <c:v>64787</c:v>
              </c:pt>
              <c:pt idx="210">
                <c:v>65699</c:v>
              </c:pt>
              <c:pt idx="211">
                <c:v>66445</c:v>
              </c:pt>
              <c:pt idx="212">
                <c:v>67161</c:v>
              </c:pt>
              <c:pt idx="213">
                <c:v>67073</c:v>
              </c:pt>
              <c:pt idx="214">
                <c:v>66915</c:v>
              </c:pt>
              <c:pt idx="215">
                <c:v>67373</c:v>
              </c:pt>
              <c:pt idx="216">
                <c:v>66748</c:v>
              </c:pt>
              <c:pt idx="217">
                <c:v>66125</c:v>
              </c:pt>
              <c:pt idx="218">
                <c:v>66704</c:v>
              </c:pt>
              <c:pt idx="219">
                <c:v>67225</c:v>
              </c:pt>
              <c:pt idx="220">
                <c:v>67674</c:v>
              </c:pt>
              <c:pt idx="221">
                <c:v>66572</c:v>
              </c:pt>
              <c:pt idx="222">
                <c:v>66746</c:v>
              </c:pt>
              <c:pt idx="223">
                <c:v>66995</c:v>
              </c:pt>
              <c:pt idx="224">
                <c:v>67493</c:v>
              </c:pt>
              <c:pt idx="225">
                <c:v>67839</c:v>
              </c:pt>
              <c:pt idx="226">
                <c:v>67974</c:v>
              </c:pt>
              <c:pt idx="227">
                <c:v>68569</c:v>
              </c:pt>
              <c:pt idx="228">
                <c:v>67683</c:v>
              </c:pt>
              <c:pt idx="229">
                <c:v>67088</c:v>
              </c:pt>
              <c:pt idx="230">
                <c:v>67310</c:v>
              </c:pt>
              <c:pt idx="231">
                <c:v>67050</c:v>
              </c:pt>
              <c:pt idx="232">
                <c:v>67738</c:v>
              </c:pt>
              <c:pt idx="233">
                <c:v>67075</c:v>
              </c:pt>
              <c:pt idx="234">
                <c:v>67820</c:v>
              </c:pt>
              <c:pt idx="235">
                <c:v>68420</c:v>
              </c:pt>
              <c:pt idx="236">
                <c:v>68859</c:v>
              </c:pt>
              <c:pt idx="237">
                <c:v>68645</c:v>
              </c:pt>
              <c:pt idx="238">
                <c:v>68648</c:v>
              </c:pt>
              <c:pt idx="239">
                <c:v>68295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714432"/>
        <c:axId val="299715968"/>
      </c:lineChart>
      <c:catAx>
        <c:axId val="299714432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99715968"/>
        <c:crosses val="autoZero"/>
        <c:auto val="1"/>
        <c:lblAlgn val="ctr"/>
        <c:lblOffset val="100"/>
        <c:tickLblSkip val="7"/>
        <c:tickMarkSkip val="1"/>
        <c:noMultiLvlLbl val="0"/>
      </c:catAx>
      <c:valAx>
        <c:axId val="299715968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220750551876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9971443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615894039736E-2"/>
          <c:y val="0.88368201370661992"/>
          <c:w val="0.90618194248897688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0.13250883392226148"/>
          <c:w val="0.78338671401271076"/>
          <c:h val="0.68551236749116606"/>
        </c:manualLayout>
      </c:layout>
      <c:lineChart>
        <c:grouping val="standard"/>
        <c:varyColors val="0"/>
        <c:ser>
          <c:idx val="1"/>
          <c:order val="0"/>
          <c:tx>
            <c:v>2012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64787</c:v>
              </c:pt>
              <c:pt idx="1">
                <c:v>65699</c:v>
              </c:pt>
              <c:pt idx="2">
                <c:v>66445</c:v>
              </c:pt>
              <c:pt idx="3">
                <c:v>67161</c:v>
              </c:pt>
              <c:pt idx="4">
                <c:v>67073</c:v>
              </c:pt>
              <c:pt idx="5">
                <c:v>66915</c:v>
              </c:pt>
              <c:pt idx="6">
                <c:v>67373</c:v>
              </c:pt>
              <c:pt idx="7">
                <c:v>66748</c:v>
              </c:pt>
              <c:pt idx="8">
                <c:v>66126</c:v>
              </c:pt>
              <c:pt idx="9">
                <c:v>66704</c:v>
              </c:pt>
              <c:pt idx="10">
                <c:v>67225</c:v>
              </c:pt>
              <c:pt idx="11">
                <c:v>67674</c:v>
              </c:pt>
            </c:numLit>
          </c:val>
          <c:smooth val="0"/>
        </c:ser>
        <c:ser>
          <c:idx val="2"/>
          <c:order val="1"/>
          <c:tx>
            <c:v>2013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66572</c:v>
              </c:pt>
              <c:pt idx="1">
                <c:v>66746</c:v>
              </c:pt>
              <c:pt idx="2">
                <c:v>66995</c:v>
              </c:pt>
              <c:pt idx="3">
                <c:v>67493</c:v>
              </c:pt>
              <c:pt idx="4">
                <c:v>67839</c:v>
              </c:pt>
              <c:pt idx="5">
                <c:v>67977</c:v>
              </c:pt>
              <c:pt idx="6">
                <c:v>68569</c:v>
              </c:pt>
              <c:pt idx="7">
                <c:v>67683</c:v>
              </c:pt>
              <c:pt idx="8">
                <c:v>67088</c:v>
              </c:pt>
              <c:pt idx="9">
                <c:v>67310</c:v>
              </c:pt>
              <c:pt idx="10">
                <c:v>67050</c:v>
              </c:pt>
              <c:pt idx="11">
                <c:v>67738</c:v>
              </c:pt>
            </c:numLit>
          </c:val>
          <c:smooth val="0"/>
        </c:ser>
        <c:ser>
          <c:idx val="3"/>
          <c:order val="2"/>
          <c:tx>
            <c:v>2014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6"/>
              <c:layout>
                <c:manualLayout>
                  <c:x val="2.28734810578985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67075</c:v>
              </c:pt>
              <c:pt idx="1">
                <c:v>67820</c:v>
              </c:pt>
              <c:pt idx="2">
                <c:v>68420</c:v>
              </c:pt>
              <c:pt idx="3">
                <c:v>68859</c:v>
              </c:pt>
              <c:pt idx="4">
                <c:v>68643</c:v>
              </c:pt>
              <c:pt idx="5">
                <c:v>68648</c:v>
              </c:pt>
              <c:pt idx="6">
                <c:v>68295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778432"/>
        <c:axId val="299779968"/>
      </c:lineChart>
      <c:catAx>
        <c:axId val="299778432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997799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9779968"/>
        <c:scaling>
          <c:orientation val="minMax"/>
          <c:max val="70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13877284631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9977843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1428125342"/>
          <c:y val="0.90812720848056538"/>
          <c:w val="0.54994792853465657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3704380105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2012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16279</c:v>
              </c:pt>
              <c:pt idx="1">
                <c:v>16463</c:v>
              </c:pt>
              <c:pt idx="2">
                <c:v>16512</c:v>
              </c:pt>
              <c:pt idx="3">
                <c:v>17027</c:v>
              </c:pt>
              <c:pt idx="4">
                <c:v>16773</c:v>
              </c:pt>
              <c:pt idx="5">
                <c:v>16756</c:v>
              </c:pt>
              <c:pt idx="6">
                <c:v>17138</c:v>
              </c:pt>
              <c:pt idx="7">
                <c:v>16467</c:v>
              </c:pt>
              <c:pt idx="8">
                <c:v>16266</c:v>
              </c:pt>
              <c:pt idx="9">
                <c:v>16915</c:v>
              </c:pt>
              <c:pt idx="10">
                <c:v>16821</c:v>
              </c:pt>
              <c:pt idx="11">
                <c:v>16945</c:v>
              </c:pt>
            </c:numLit>
          </c:val>
          <c:smooth val="0"/>
        </c:ser>
        <c:ser>
          <c:idx val="2"/>
          <c:order val="1"/>
          <c:tx>
            <c:v>2013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16454</c:v>
              </c:pt>
              <c:pt idx="1">
                <c:v>16754</c:v>
              </c:pt>
              <c:pt idx="2">
                <c:v>16799</c:v>
              </c:pt>
              <c:pt idx="3">
                <c:v>17166</c:v>
              </c:pt>
              <c:pt idx="4">
                <c:v>16987</c:v>
              </c:pt>
              <c:pt idx="5">
                <c:v>17195</c:v>
              </c:pt>
              <c:pt idx="6">
                <c:v>17318</c:v>
              </c:pt>
              <c:pt idx="7">
                <c:v>16454</c:v>
              </c:pt>
              <c:pt idx="8">
                <c:v>16604</c:v>
              </c:pt>
              <c:pt idx="9">
                <c:v>16795</c:v>
              </c:pt>
              <c:pt idx="10">
                <c:v>17057</c:v>
              </c:pt>
              <c:pt idx="11">
                <c:v>17192</c:v>
              </c:pt>
            </c:numLit>
          </c:val>
          <c:smooth val="0"/>
        </c:ser>
        <c:ser>
          <c:idx val="3"/>
          <c:order val="2"/>
          <c:tx>
            <c:v>2014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16622</c:v>
              </c:pt>
              <c:pt idx="1">
                <c:v>17363</c:v>
              </c:pt>
              <c:pt idx="2">
                <c:v>17589</c:v>
              </c:pt>
              <c:pt idx="3">
                <c:v>17846</c:v>
              </c:pt>
              <c:pt idx="4">
                <c:v>17495</c:v>
              </c:pt>
              <c:pt idx="5">
                <c:v>17677</c:v>
              </c:pt>
              <c:pt idx="6">
                <c:v>17773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869696"/>
        <c:axId val="299871232"/>
      </c:lineChart>
      <c:catAx>
        <c:axId val="299869696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998712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9871232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7034220532317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9986969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78134387192"/>
          <c:y val="0.95993104520471528"/>
          <c:w val="0.82699699609792121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100"/>
              <a:t> Condamnés</a:t>
            </a:r>
          </a:p>
        </c:rich>
      </c:tx>
      <c:layout>
        <c:manualLayout>
          <c:xMode val="edge"/>
          <c:yMode val="edge"/>
          <c:x val="0.45841941017215371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2012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48508</c:v>
              </c:pt>
              <c:pt idx="1">
                <c:v>49236</c:v>
              </c:pt>
              <c:pt idx="2">
                <c:v>49933</c:v>
              </c:pt>
              <c:pt idx="3">
                <c:v>50134</c:v>
              </c:pt>
              <c:pt idx="4">
                <c:v>50300</c:v>
              </c:pt>
              <c:pt idx="5">
                <c:v>50159</c:v>
              </c:pt>
              <c:pt idx="6">
                <c:v>50235</c:v>
              </c:pt>
              <c:pt idx="7">
                <c:v>50281</c:v>
              </c:pt>
              <c:pt idx="8">
                <c:v>49860</c:v>
              </c:pt>
              <c:pt idx="9">
                <c:v>49759</c:v>
              </c:pt>
              <c:pt idx="10">
                <c:v>50376</c:v>
              </c:pt>
              <c:pt idx="11">
                <c:v>50697</c:v>
              </c:pt>
            </c:numLit>
          </c:val>
          <c:smooth val="0"/>
        </c:ser>
        <c:ser>
          <c:idx val="1"/>
          <c:order val="1"/>
          <c:tx>
            <c:v>2013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50118</c:v>
              </c:pt>
              <c:pt idx="1">
                <c:v>49957</c:v>
              </c:pt>
              <c:pt idx="2">
                <c:v>50168</c:v>
              </c:pt>
              <c:pt idx="3">
                <c:v>50297</c:v>
              </c:pt>
              <c:pt idx="4">
                <c:v>50852</c:v>
              </c:pt>
              <c:pt idx="5">
                <c:v>50782</c:v>
              </c:pt>
              <c:pt idx="6">
                <c:v>51251</c:v>
              </c:pt>
              <c:pt idx="7">
                <c:v>51229</c:v>
              </c:pt>
              <c:pt idx="8">
                <c:v>50484</c:v>
              </c:pt>
              <c:pt idx="9">
                <c:v>50515</c:v>
              </c:pt>
              <c:pt idx="10">
                <c:v>49993</c:v>
              </c:pt>
              <c:pt idx="11">
                <c:v>50546</c:v>
              </c:pt>
            </c:numLit>
          </c:val>
          <c:smooth val="0"/>
        </c:ser>
        <c:ser>
          <c:idx val="2"/>
          <c:order val="2"/>
          <c:tx>
            <c:v>2014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50453</c:v>
              </c:pt>
              <c:pt idx="1">
                <c:v>50457</c:v>
              </c:pt>
              <c:pt idx="2">
                <c:v>50831</c:v>
              </c:pt>
              <c:pt idx="3">
                <c:v>51013</c:v>
              </c:pt>
              <c:pt idx="4">
                <c:v>51148</c:v>
              </c:pt>
              <c:pt idx="5">
                <c:v>50971</c:v>
              </c:pt>
              <c:pt idx="6">
                <c:v>50522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0370560"/>
        <c:axId val="300396928"/>
      </c:lineChart>
      <c:catAx>
        <c:axId val="30037056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300396928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300396928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5196850393699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30037056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296257259181"/>
          <c:y val="0.95965078049454344"/>
          <c:w val="0.8503945274557215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'tab5 courbévol'!$A$7</c:f>
          <c:strCache>
            <c:ptCount val="1"/>
            <c:pt idx="0">
              <c:v>Evolution mensuelle du nombre de personnes écrouées non hébergées depuis janvier 2012</c:v>
            </c:pt>
          </c:strCache>
        </c:strRef>
      </c:tx>
      <c:layout>
        <c:manualLayout>
          <c:xMode val="edge"/>
          <c:yMode val="edge"/>
          <c:x val="0.15110178384050368"/>
          <c:y val="2.946593001841620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2012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8993</c:v>
              </c:pt>
              <c:pt idx="1">
                <c:v>9523</c:v>
              </c:pt>
              <c:pt idx="2">
                <c:v>9983</c:v>
              </c:pt>
              <c:pt idx="3">
                <c:v>10427</c:v>
              </c:pt>
              <c:pt idx="4">
                <c:v>10679</c:v>
              </c:pt>
              <c:pt idx="5">
                <c:v>10759</c:v>
              </c:pt>
              <c:pt idx="6">
                <c:v>10889</c:v>
              </c:pt>
              <c:pt idx="7">
                <c:v>10737</c:v>
              </c:pt>
              <c:pt idx="8">
                <c:v>9948</c:v>
              </c:pt>
              <c:pt idx="9">
                <c:v>9703</c:v>
              </c:pt>
              <c:pt idx="10">
                <c:v>10057</c:v>
              </c:pt>
              <c:pt idx="11">
                <c:v>10408</c:v>
              </c:pt>
            </c:numLit>
          </c:val>
          <c:smooth val="0"/>
        </c:ser>
        <c:ser>
          <c:idx val="1"/>
          <c:order val="1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10226</c:v>
              </c:pt>
              <c:pt idx="1">
                <c:v>10794</c:v>
              </c:pt>
              <c:pt idx="2">
                <c:v>11213</c:v>
              </c:pt>
              <c:pt idx="3">
                <c:v>11504</c:v>
              </c:pt>
              <c:pt idx="4">
                <c:v>12073</c:v>
              </c:pt>
              <c:pt idx="5">
                <c:v>12181</c:v>
              </c:pt>
              <c:pt idx="6">
                <c:v>12131</c:v>
              </c:pt>
              <c:pt idx="7">
                <c:v>12084</c:v>
              </c:pt>
              <c:pt idx="8">
                <c:v>11226</c:v>
              </c:pt>
              <c:pt idx="9">
                <c:v>11053</c:v>
              </c:pt>
              <c:pt idx="10">
                <c:v>11202</c:v>
              </c:pt>
              <c:pt idx="11">
                <c:v>11146</c:v>
              </c:pt>
            </c:numLit>
          </c:val>
          <c:smooth val="0"/>
        </c:ser>
        <c:ser>
          <c:idx val="2"/>
          <c:order val="2"/>
          <c:tx>
            <c:v>2014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6"/>
              <c:layout>
                <c:manualLayout>
                  <c:x val="4.1898169632822472E-3"/>
                  <c:y val="7.200437695897734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10808</c:v>
              </c:pt>
              <c:pt idx="1">
                <c:v>10917</c:v>
              </c:pt>
              <c:pt idx="2">
                <c:v>11101</c:v>
              </c:pt>
              <c:pt idx="3">
                <c:v>11881</c:v>
              </c:pt>
              <c:pt idx="4">
                <c:v>12408</c:v>
              </c:pt>
              <c:pt idx="5">
                <c:v>12226</c:v>
              </c:pt>
              <c:pt idx="6">
                <c:v>12425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661440"/>
        <c:axId val="305662976"/>
      </c:lineChart>
      <c:catAx>
        <c:axId val="30566144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3056629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05662976"/>
        <c:scaling>
          <c:orientation val="minMax"/>
          <c:max val="13000"/>
          <c:min val="2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2298006296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305661440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315844701"/>
          <c:y val="0.92817853569408793"/>
          <c:w val="0.33263378803777544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'tab30 courbe'!$A$3</c:f>
          <c:strCache>
            <c:ptCount val="1"/>
            <c:pt idx="0">
              <c:v>Evolution mensuelle de la population écrouée détenue mineure depuis le 1er janvier  2012</c:v>
            </c:pt>
          </c:strCache>
        </c:strRef>
      </c:tx>
      <c:layout>
        <c:manualLayout>
          <c:xMode val="edge"/>
          <c:yMode val="edge"/>
          <c:x val="0.11757588483257773"/>
          <c:y val="2.203389830508474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7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2012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712</c:v>
              </c:pt>
              <c:pt idx="1">
                <c:v>723</c:v>
              </c:pt>
              <c:pt idx="2">
                <c:v>715</c:v>
              </c:pt>
              <c:pt idx="3">
                <c:v>780</c:v>
              </c:pt>
              <c:pt idx="4">
                <c:v>803</c:v>
              </c:pt>
              <c:pt idx="5">
                <c:v>770</c:v>
              </c:pt>
              <c:pt idx="6">
                <c:v>810</c:v>
              </c:pt>
              <c:pt idx="7">
                <c:v>755</c:v>
              </c:pt>
              <c:pt idx="8">
                <c:v>680</c:v>
              </c:pt>
              <c:pt idx="9">
                <c:v>667</c:v>
              </c:pt>
              <c:pt idx="10">
                <c:v>681</c:v>
              </c:pt>
              <c:pt idx="11">
                <c:v>723</c:v>
              </c:pt>
            </c:numLit>
          </c:val>
          <c:smooth val="0"/>
        </c:ser>
        <c:ser>
          <c:idx val="2"/>
          <c:order val="1"/>
          <c:tx>
            <c:v>2013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724</c:v>
              </c:pt>
              <c:pt idx="1">
                <c:v>721</c:v>
              </c:pt>
              <c:pt idx="2">
                <c:v>729</c:v>
              </c:pt>
              <c:pt idx="3">
                <c:v>742</c:v>
              </c:pt>
              <c:pt idx="4">
                <c:v>771</c:v>
              </c:pt>
              <c:pt idx="5">
                <c:v>778</c:v>
              </c:pt>
              <c:pt idx="6">
                <c:v>799</c:v>
              </c:pt>
              <c:pt idx="7">
                <c:v>781</c:v>
              </c:pt>
              <c:pt idx="8">
                <c:v>715</c:v>
              </c:pt>
              <c:pt idx="9">
                <c:v>696</c:v>
              </c:pt>
              <c:pt idx="10">
                <c:v>723</c:v>
              </c:pt>
              <c:pt idx="11">
                <c:v>737</c:v>
              </c:pt>
            </c:numLit>
          </c:val>
          <c:smooth val="0"/>
        </c:ser>
        <c:ser>
          <c:idx val="3"/>
          <c:order val="2"/>
          <c:tx>
            <c:v>2014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6"/>
              <c:layout>
                <c:manualLayout>
                  <c:x val="1.4545454545454545E-2"/>
                  <c:y val="-2.71186440677966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731</c:v>
              </c:pt>
              <c:pt idx="1">
                <c:v>737</c:v>
              </c:pt>
              <c:pt idx="2">
                <c:v>748</c:v>
              </c:pt>
              <c:pt idx="3">
                <c:v>778</c:v>
              </c:pt>
              <c:pt idx="4">
                <c:v>817</c:v>
              </c:pt>
              <c:pt idx="5">
                <c:v>809</c:v>
              </c:pt>
              <c:pt idx="6">
                <c:v>794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868160"/>
        <c:axId val="305874048"/>
      </c:lineChart>
      <c:catAx>
        <c:axId val="305868160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3058740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05874048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45454545455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30586816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10299848882"/>
          <c:y val="0.91186440677966096"/>
          <c:w val="0.63394015748031485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tab36courbévolfem!$B$2</c:f>
          <c:strCache>
            <c:ptCount val="1"/>
            <c:pt idx="0">
              <c:v>Evolution mensuelle du nombre de femmes écrouées depuis le 1er janvier 2012</c:v>
            </c:pt>
          </c:strCache>
        </c:strRef>
      </c:tx>
      <c:layout>
        <c:manualLayout>
          <c:xMode val="edge"/>
          <c:yMode val="edge"/>
          <c:x val="0.19776876267748478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2012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2623</c:v>
              </c:pt>
              <c:pt idx="1">
                <c:v>2688</c:v>
              </c:pt>
              <c:pt idx="2">
                <c:v>2750</c:v>
              </c:pt>
              <c:pt idx="3">
                <c:v>2807</c:v>
              </c:pt>
              <c:pt idx="4">
                <c:v>2774</c:v>
              </c:pt>
              <c:pt idx="5">
                <c:v>2775</c:v>
              </c:pt>
              <c:pt idx="6">
                <c:v>2840</c:v>
              </c:pt>
              <c:pt idx="7">
                <c:v>2752</c:v>
              </c:pt>
              <c:pt idx="8">
                <c:v>2682</c:v>
              </c:pt>
              <c:pt idx="9">
                <c:v>2706</c:v>
              </c:pt>
              <c:pt idx="10">
                <c:v>2759</c:v>
              </c:pt>
              <c:pt idx="11">
                <c:v>2821</c:v>
              </c:pt>
            </c:numLit>
          </c:val>
          <c:smooth val="0"/>
        </c:ser>
        <c:ser>
          <c:idx val="2"/>
          <c:order val="1"/>
          <c:tx>
            <c:v>2013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2731</c:v>
              </c:pt>
              <c:pt idx="1">
                <c:v>2740</c:v>
              </c:pt>
              <c:pt idx="2">
                <c:v>2795</c:v>
              </c:pt>
              <c:pt idx="3">
                <c:v>2792</c:v>
              </c:pt>
              <c:pt idx="4">
                <c:v>2801</c:v>
              </c:pt>
              <c:pt idx="5">
                <c:v>2810</c:v>
              </c:pt>
              <c:pt idx="6">
                <c:v>2860</c:v>
              </c:pt>
              <c:pt idx="7">
                <c:v>2817</c:v>
              </c:pt>
              <c:pt idx="8">
                <c:v>2736</c:v>
              </c:pt>
              <c:pt idx="9">
                <c:v>2724</c:v>
              </c:pt>
              <c:pt idx="10">
                <c:v>2744</c:v>
              </c:pt>
              <c:pt idx="11">
                <c:v>2731</c:v>
              </c:pt>
            </c:numLit>
          </c:val>
          <c:smooth val="0"/>
        </c:ser>
        <c:ser>
          <c:idx val="3"/>
          <c:order val="2"/>
          <c:tx>
            <c:v>2014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2690</c:v>
              </c:pt>
              <c:pt idx="1">
                <c:v>2730</c:v>
              </c:pt>
              <c:pt idx="2">
                <c:v>2724</c:v>
              </c:pt>
              <c:pt idx="3">
                <c:v>2820</c:v>
              </c:pt>
              <c:pt idx="4">
                <c:v>2851</c:v>
              </c:pt>
              <c:pt idx="5">
                <c:v>2891</c:v>
              </c:pt>
              <c:pt idx="6">
                <c:v>2935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6129920"/>
        <c:axId val="306144000"/>
      </c:lineChart>
      <c:catAx>
        <c:axId val="306129920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306144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06144000"/>
        <c:scaling>
          <c:orientation val="minMax"/>
          <c:max val="3000"/>
          <c:min val="2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09939148073022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306129920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2251521298"/>
          <c:y val="0.91728018372703413"/>
          <c:w val="0.53042596348884374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Evolution mensuelle du nombre d'écroués bénéficiant d'un aménagement de peine</a:t>
            </a:r>
          </a:p>
        </c:rich>
      </c:tx>
      <c:layout>
        <c:manualLayout>
          <c:xMode val="edge"/>
          <c:yMode val="edge"/>
          <c:x val="0.13141439923263659"/>
          <c:y val="2.85204991087344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tab37AmPeine!$B$11:$B$35</c:f>
              <c:numCache>
                <c:formatCode>m/d/yyyy</c:formatCode>
                <c:ptCount val="25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</c:numCache>
            </c:numRef>
          </c:cat>
          <c:val>
            <c:numRef>
              <c:f>tab37AmPeine!$C$11:$C$35</c:f>
              <c:numCache>
                <c:formatCode>General</c:formatCode>
                <c:ptCount val="25"/>
                <c:pt idx="0">
                  <c:v>10244</c:v>
                </c:pt>
                <c:pt idx="1">
                  <c:v>10104</c:v>
                </c:pt>
                <c:pt idx="2">
                  <c:v>9390</c:v>
                </c:pt>
                <c:pt idx="3">
                  <c:v>9105</c:v>
                </c:pt>
                <c:pt idx="4">
                  <c:v>9470</c:v>
                </c:pt>
                <c:pt idx="5">
                  <c:v>9840</c:v>
                </c:pt>
                <c:pt idx="6">
                  <c:v>9653</c:v>
                </c:pt>
                <c:pt idx="7">
                  <c:v>10197</c:v>
                </c:pt>
                <c:pt idx="8">
                  <c:v>10615</c:v>
                </c:pt>
                <c:pt idx="9">
                  <c:v>10919</c:v>
                </c:pt>
                <c:pt idx="10">
                  <c:v>11438</c:v>
                </c:pt>
                <c:pt idx="11">
                  <c:v>11559</c:v>
                </c:pt>
                <c:pt idx="12">
                  <c:v>11475</c:v>
                </c:pt>
                <c:pt idx="13">
                  <c:v>11465</c:v>
                </c:pt>
                <c:pt idx="14">
                  <c:v>10646</c:v>
                </c:pt>
                <c:pt idx="15">
                  <c:v>10451</c:v>
                </c:pt>
                <c:pt idx="16">
                  <c:v>10560</c:v>
                </c:pt>
                <c:pt idx="17">
                  <c:v>10482</c:v>
                </c:pt>
                <c:pt idx="18">
                  <c:v>10161</c:v>
                </c:pt>
                <c:pt idx="19">
                  <c:v>10296</c:v>
                </c:pt>
                <c:pt idx="20">
                  <c:v>10452</c:v>
                </c:pt>
                <c:pt idx="21">
                  <c:v>11234</c:v>
                </c:pt>
                <c:pt idx="22">
                  <c:v>11755</c:v>
                </c:pt>
                <c:pt idx="23">
                  <c:v>11586</c:v>
                </c:pt>
                <c:pt idx="24">
                  <c:v>11763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tab37AmPeine!$B$11:$B$35</c:f>
              <c:numCache>
                <c:formatCode>m/d/yyyy</c:formatCode>
                <c:ptCount val="25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</c:numCache>
            </c:numRef>
          </c:cat>
          <c:val>
            <c:numRef>
              <c:f>tab37AmPeine!$F$11:$F$35</c:f>
              <c:numCache>
                <c:formatCode>General</c:formatCode>
                <c:ptCount val="25"/>
                <c:pt idx="0">
                  <c:v>989</c:v>
                </c:pt>
                <c:pt idx="1">
                  <c:v>1030</c:v>
                </c:pt>
                <c:pt idx="2">
                  <c:v>964</c:v>
                </c:pt>
                <c:pt idx="3">
                  <c:v>988</c:v>
                </c:pt>
                <c:pt idx="4">
                  <c:v>955</c:v>
                </c:pt>
                <c:pt idx="5">
                  <c:v>984</c:v>
                </c:pt>
                <c:pt idx="6">
                  <c:v>976</c:v>
                </c:pt>
                <c:pt idx="7">
                  <c:v>1002</c:v>
                </c:pt>
                <c:pt idx="8">
                  <c:v>1002</c:v>
                </c:pt>
                <c:pt idx="9">
                  <c:v>1027</c:v>
                </c:pt>
                <c:pt idx="10">
                  <c:v>1070</c:v>
                </c:pt>
                <c:pt idx="11">
                  <c:v>1038</c:v>
                </c:pt>
                <c:pt idx="12">
                  <c:v>1061</c:v>
                </c:pt>
                <c:pt idx="13">
                  <c:v>999</c:v>
                </c:pt>
                <c:pt idx="14">
                  <c:v>954</c:v>
                </c:pt>
                <c:pt idx="15">
                  <c:v>993</c:v>
                </c:pt>
                <c:pt idx="16">
                  <c:v>1013</c:v>
                </c:pt>
                <c:pt idx="17">
                  <c:v>1037</c:v>
                </c:pt>
                <c:pt idx="18">
                  <c:v>1022</c:v>
                </c:pt>
                <c:pt idx="19">
                  <c:v>1007</c:v>
                </c:pt>
                <c:pt idx="20">
                  <c:v>1071</c:v>
                </c:pt>
                <c:pt idx="21">
                  <c:v>1050</c:v>
                </c:pt>
                <c:pt idx="22">
                  <c:v>1062</c:v>
                </c:pt>
                <c:pt idx="23">
                  <c:v>1005</c:v>
                </c:pt>
                <c:pt idx="24">
                  <c:v>1068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tab37AmPeine!$B$11:$B$35</c:f>
              <c:numCache>
                <c:formatCode>m/d/yyyy</c:formatCode>
                <c:ptCount val="25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</c:numCache>
            </c:numRef>
          </c:cat>
          <c:val>
            <c:numRef>
              <c:f>tab37AmPeine!$G$11:$G$35</c:f>
              <c:numCache>
                <c:formatCode>#,##0</c:formatCode>
                <c:ptCount val="25"/>
                <c:pt idx="0">
                  <c:v>1993</c:v>
                </c:pt>
                <c:pt idx="1">
                  <c:v>1916</c:v>
                </c:pt>
                <c:pt idx="2">
                  <c:v>1813</c:v>
                </c:pt>
                <c:pt idx="3">
                  <c:v>1834</c:v>
                </c:pt>
                <c:pt idx="4">
                  <c:v>1845</c:v>
                </c:pt>
                <c:pt idx="5">
                  <c:v>1903</c:v>
                </c:pt>
                <c:pt idx="6">
                  <c:v>1785</c:v>
                </c:pt>
                <c:pt idx="7">
                  <c:v>1867</c:v>
                </c:pt>
                <c:pt idx="8">
                  <c:v>1921</c:v>
                </c:pt>
                <c:pt idx="9">
                  <c:v>1942</c:v>
                </c:pt>
                <c:pt idx="10">
                  <c:v>2041</c:v>
                </c:pt>
                <c:pt idx="11">
                  <c:v>2000</c:v>
                </c:pt>
                <c:pt idx="12">
                  <c:v>1993</c:v>
                </c:pt>
                <c:pt idx="13">
                  <c:v>1939</c:v>
                </c:pt>
                <c:pt idx="14">
                  <c:v>1813</c:v>
                </c:pt>
                <c:pt idx="15">
                  <c:v>1860</c:v>
                </c:pt>
                <c:pt idx="16">
                  <c:v>1842</c:v>
                </c:pt>
                <c:pt idx="17">
                  <c:v>1838</c:v>
                </c:pt>
                <c:pt idx="18">
                  <c:v>1765</c:v>
                </c:pt>
                <c:pt idx="19">
                  <c:v>1838</c:v>
                </c:pt>
                <c:pt idx="20">
                  <c:v>1920</c:v>
                </c:pt>
                <c:pt idx="21">
                  <c:v>1942</c:v>
                </c:pt>
                <c:pt idx="22">
                  <c:v>1937</c:v>
                </c:pt>
                <c:pt idx="23">
                  <c:v>1912</c:v>
                </c:pt>
                <c:pt idx="24">
                  <c:v>1951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6614656"/>
        <c:axId val="306616192"/>
      </c:lineChart>
      <c:dateAx>
        <c:axId val="306614656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06616192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306616192"/>
        <c:scaling>
          <c:orientation val="minMax"/>
          <c:max val="13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06614656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37463496036E-2"/>
          <c:y val="0.90574143472707613"/>
          <c:w val="0.91932448368860031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0</xdr:colOff>
      <xdr:row>7</xdr:row>
      <xdr:rowOff>19050</xdr:rowOff>
    </xdr:to>
    <xdr:pic>
      <xdr:nvPicPr>
        <xdr:cNvPr id="1063" name="Picture 7" descr="2_logo_ministere_justice_libertesHD_200907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61925"/>
          <a:ext cx="97155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11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12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0.64999</cdr:x>
      <cdr:y>0.3449</cdr:y>
    </cdr:from>
    <cdr:to>
      <cdr:x>0.82174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0.73191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0.55662</cdr:x>
      <cdr:y>0.13789</cdr:y>
    </cdr:from>
    <cdr:to>
      <cdr:x>0.77765</cdr:x>
      <cdr:y>0.18432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90542" y="771790"/>
          <a:ext cx="1930927" cy="2551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0.61625</cdr:x>
      <cdr:y>0.37937</cdr:y>
    </cdr:from>
    <cdr:to>
      <cdr:x>0.76261</cdr:x>
      <cdr:y>0.40369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0.65848</cdr:x>
      <cdr:y>0.60564</cdr:y>
    </cdr:from>
    <cdr:to>
      <cdr:x>0.81622</cdr:x>
      <cdr:y>0.64814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15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0.21973</cdr:x>
      <cdr:y>0.62844</cdr:y>
    </cdr:from>
    <cdr:to>
      <cdr:x>0.40501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723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724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0.70728</cdr:x>
      <cdr:y>0.14918</cdr:y>
    </cdr:from>
    <cdr:to>
      <cdr:x>0.92065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0.03401</cdr:x>
      <cdr:y>0.1325</cdr:y>
    </cdr:from>
    <cdr:to>
      <cdr:x>0.11863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0.69808</cdr:x>
      <cdr:y>0.14234</cdr:y>
    </cdr:from>
    <cdr:to>
      <cdr:x>0.9189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27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30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34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0.17086</cdr:x>
      <cdr:y>0.558</cdr:y>
    </cdr:from>
    <cdr:to>
      <cdr:x>0.4354</cdr:x>
      <cdr:y>0.59065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</xdr:row>
      <xdr:rowOff>114300</xdr:rowOff>
    </xdr:from>
    <xdr:to>
      <xdr:col>10</xdr:col>
      <xdr:colOff>0</xdr:colOff>
      <xdr:row>39</xdr:row>
      <xdr:rowOff>114300</xdr:rowOff>
    </xdr:to>
    <xdr:graphicFrame macro="">
      <xdr:nvGraphicFramePr>
        <xdr:cNvPr id="285711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zoomScaleNormal="100" workbookViewId="0"/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460"/>
      <c r="J12" s="460"/>
      <c r="K12" s="460"/>
    </row>
    <row r="13" spans="1:16" ht="37.5" x14ac:dyDescent="0.5">
      <c r="A13" s="4"/>
      <c r="B13" s="5" t="s">
        <v>1</v>
      </c>
      <c r="C13" s="6"/>
      <c r="D13" s="6"/>
      <c r="E13" s="6"/>
      <c r="F13" s="6"/>
      <c r="G13" s="6"/>
      <c r="H13" s="6"/>
      <c r="I13" s="6"/>
      <c r="J13" s="6"/>
      <c r="K13" s="6"/>
      <c r="L13" s="461"/>
      <c r="M13" s="461"/>
      <c r="N13" s="461"/>
      <c r="O13" s="461"/>
      <c r="P13" s="461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2</v>
      </c>
      <c r="C15" s="1"/>
      <c r="D15" s="8" t="s">
        <v>283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3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280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G48"/>
  <sheetViews>
    <sheetView zoomScaleNormal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8.42578125" style="31" customWidth="1"/>
    <col min="4" max="4" width="59.7109375" style="31" customWidth="1"/>
    <col min="5" max="16384" width="6.28515625" style="29"/>
  </cols>
  <sheetData>
    <row r="1" spans="1:7" s="16" customFormat="1" ht="20.25" x14ac:dyDescent="0.2">
      <c r="A1" s="12" t="s">
        <v>4</v>
      </c>
      <c r="B1" s="13"/>
      <c r="C1" s="14"/>
      <c r="D1" s="14"/>
      <c r="E1" s="15"/>
      <c r="F1" s="15"/>
      <c r="G1" s="15"/>
    </row>
    <row r="2" spans="1:7" s="21" customFormat="1" ht="18.75" x14ac:dyDescent="0.2">
      <c r="A2" s="17"/>
      <c r="B2" s="18"/>
      <c r="C2" s="19"/>
      <c r="D2" s="19"/>
      <c r="E2" s="20"/>
      <c r="F2" s="20"/>
      <c r="G2" s="20"/>
    </row>
    <row r="3" spans="1:7" s="26" customFormat="1" ht="15.75" x14ac:dyDescent="0.2">
      <c r="A3" s="22"/>
      <c r="B3" s="23" t="s">
        <v>5</v>
      </c>
      <c r="C3" s="24"/>
      <c r="D3" s="25" t="s">
        <v>4</v>
      </c>
      <c r="F3" s="22"/>
      <c r="G3" s="22"/>
    </row>
    <row r="4" spans="1:7" s="26" customFormat="1" ht="15.75" x14ac:dyDescent="0.2">
      <c r="A4" s="22"/>
      <c r="B4" s="23" t="s">
        <v>6</v>
      </c>
      <c r="C4" s="25"/>
      <c r="D4" s="25" t="s">
        <v>7</v>
      </c>
      <c r="F4" s="22"/>
      <c r="G4" s="22"/>
    </row>
    <row r="5" spans="1:7" s="26" customFormat="1" ht="15.75" x14ac:dyDescent="0.2">
      <c r="A5" s="22"/>
      <c r="B5" s="23" t="s">
        <v>8</v>
      </c>
      <c r="C5" s="25"/>
      <c r="D5" s="25" t="s">
        <v>9</v>
      </c>
      <c r="F5" s="22"/>
      <c r="G5" s="22"/>
    </row>
    <row r="6" spans="1:7" s="26" customFormat="1" ht="15.75" x14ac:dyDescent="0.2">
      <c r="A6" s="22"/>
      <c r="B6" s="23" t="s">
        <v>10</v>
      </c>
      <c r="C6" s="25" t="s">
        <v>11</v>
      </c>
      <c r="D6" s="25" t="s">
        <v>12</v>
      </c>
      <c r="F6" s="22"/>
      <c r="G6" s="22"/>
    </row>
    <row r="7" spans="1:7" s="26" customFormat="1" ht="15.75" x14ac:dyDescent="0.2">
      <c r="B7" s="23" t="s">
        <v>13</v>
      </c>
      <c r="C7" s="25" t="s">
        <v>14</v>
      </c>
      <c r="D7" s="25" t="s">
        <v>15</v>
      </c>
      <c r="F7" s="27"/>
      <c r="G7" s="27"/>
    </row>
    <row r="8" spans="1:7" s="26" customFormat="1" ht="15.75" x14ac:dyDescent="0.2">
      <c r="B8" s="23" t="s">
        <v>16</v>
      </c>
      <c r="C8" s="25" t="s">
        <v>17</v>
      </c>
      <c r="D8" s="25" t="s">
        <v>18</v>
      </c>
      <c r="F8" s="27"/>
      <c r="G8" s="27"/>
    </row>
    <row r="9" spans="1:7" s="26" customFormat="1" ht="15.75" x14ac:dyDescent="0.2">
      <c r="B9" s="23" t="s">
        <v>19</v>
      </c>
      <c r="C9" s="25" t="s">
        <v>20</v>
      </c>
      <c r="D9" s="25" t="s">
        <v>21</v>
      </c>
      <c r="F9" s="27"/>
      <c r="G9" s="27"/>
    </row>
    <row r="10" spans="1:7" s="26" customFormat="1" ht="15.75" x14ac:dyDescent="0.2">
      <c r="B10" s="23" t="s">
        <v>22</v>
      </c>
      <c r="C10" s="25" t="s">
        <v>23</v>
      </c>
      <c r="D10" s="25" t="s">
        <v>24</v>
      </c>
      <c r="F10" s="27"/>
      <c r="G10" s="27"/>
    </row>
    <row r="11" spans="1:7" s="26" customFormat="1" ht="15.75" x14ac:dyDescent="0.2">
      <c r="B11" s="23" t="s">
        <v>25</v>
      </c>
      <c r="C11" s="25" t="s">
        <v>26</v>
      </c>
      <c r="D11" s="25" t="s">
        <v>27</v>
      </c>
      <c r="F11" s="27"/>
      <c r="G11" s="27"/>
    </row>
    <row r="12" spans="1:7" s="26" customFormat="1" ht="15.75" x14ac:dyDescent="0.2">
      <c r="B12" s="23" t="s">
        <v>28</v>
      </c>
      <c r="C12" s="25" t="s">
        <v>29</v>
      </c>
      <c r="D12" s="25" t="s">
        <v>30</v>
      </c>
      <c r="F12" s="27"/>
      <c r="G12" s="27"/>
    </row>
    <row r="13" spans="1:7" s="26" customFormat="1" ht="15.75" x14ac:dyDescent="0.2">
      <c r="B13" s="23" t="s">
        <v>31</v>
      </c>
      <c r="C13" s="25" t="s">
        <v>32</v>
      </c>
      <c r="D13" s="25" t="s">
        <v>33</v>
      </c>
      <c r="F13" s="27"/>
      <c r="G13" s="27"/>
    </row>
    <row r="14" spans="1:7" s="26" customFormat="1" ht="15.75" x14ac:dyDescent="0.2">
      <c r="B14" s="23" t="s">
        <v>34</v>
      </c>
      <c r="C14" s="25" t="s">
        <v>35</v>
      </c>
      <c r="D14" s="25" t="s">
        <v>36</v>
      </c>
      <c r="F14" s="27"/>
      <c r="G14" s="27"/>
    </row>
    <row r="15" spans="1:7" s="26" customFormat="1" ht="15.75" x14ac:dyDescent="0.2">
      <c r="B15" s="23" t="s">
        <v>37</v>
      </c>
      <c r="C15" s="25" t="s">
        <v>38</v>
      </c>
      <c r="D15" s="25" t="s">
        <v>39</v>
      </c>
      <c r="F15" s="27"/>
      <c r="G15" s="27"/>
    </row>
    <row r="16" spans="1:7" s="26" customFormat="1" ht="15.75" x14ac:dyDescent="0.2">
      <c r="B16" s="23" t="s">
        <v>40</v>
      </c>
      <c r="C16" s="25" t="s">
        <v>41</v>
      </c>
      <c r="D16" s="25" t="s">
        <v>42</v>
      </c>
      <c r="F16" s="27"/>
      <c r="G16" s="27"/>
    </row>
    <row r="17" spans="1:7" s="26" customFormat="1" ht="15.75" x14ac:dyDescent="0.2">
      <c r="B17" s="23" t="s">
        <v>43</v>
      </c>
      <c r="C17" s="25" t="s">
        <v>44</v>
      </c>
      <c r="D17" s="25" t="s">
        <v>45</v>
      </c>
      <c r="F17" s="27"/>
      <c r="G17" s="27"/>
    </row>
    <row r="18" spans="1:7" s="26" customFormat="1" ht="15.75" x14ac:dyDescent="0.2">
      <c r="B18" s="23" t="s">
        <v>46</v>
      </c>
      <c r="C18" s="25" t="s">
        <v>47</v>
      </c>
      <c r="D18" s="25" t="s">
        <v>48</v>
      </c>
      <c r="F18" s="27"/>
      <c r="G18" s="27"/>
    </row>
    <row r="19" spans="1:7" s="26" customFormat="1" ht="15.75" x14ac:dyDescent="0.2">
      <c r="B19" s="23" t="s">
        <v>49</v>
      </c>
      <c r="C19" s="25" t="s">
        <v>50</v>
      </c>
      <c r="D19" s="25" t="s">
        <v>51</v>
      </c>
      <c r="F19" s="27"/>
      <c r="G19" s="27"/>
    </row>
    <row r="20" spans="1:7" s="26" customFormat="1" ht="15.75" x14ac:dyDescent="0.2">
      <c r="B20" s="23" t="s">
        <v>52</v>
      </c>
      <c r="C20" s="25" t="s">
        <v>53</v>
      </c>
      <c r="D20" s="25" t="s">
        <v>54</v>
      </c>
      <c r="F20" s="27"/>
      <c r="G20" s="27"/>
    </row>
    <row r="21" spans="1:7" s="26" customFormat="1" ht="15.75" x14ac:dyDescent="0.2">
      <c r="B21" s="23" t="s">
        <v>55</v>
      </c>
      <c r="C21" s="25" t="s">
        <v>56</v>
      </c>
      <c r="D21" s="25" t="s">
        <v>57</v>
      </c>
      <c r="F21" s="27"/>
      <c r="G21" s="27"/>
    </row>
    <row r="22" spans="1:7" s="26" customFormat="1" ht="15.75" x14ac:dyDescent="0.2">
      <c r="B22" s="23" t="s">
        <v>58</v>
      </c>
      <c r="C22" s="25" t="s">
        <v>59</v>
      </c>
      <c r="D22" s="25" t="s">
        <v>60</v>
      </c>
      <c r="F22" s="27"/>
      <c r="G22" s="27"/>
    </row>
    <row r="23" spans="1:7" s="26" customFormat="1" ht="15.75" x14ac:dyDescent="0.2">
      <c r="B23" s="23" t="s">
        <v>61</v>
      </c>
      <c r="C23" s="25" t="s">
        <v>62</v>
      </c>
      <c r="D23" s="25" t="s">
        <v>63</v>
      </c>
      <c r="F23" s="27"/>
      <c r="G23" s="27"/>
    </row>
    <row r="24" spans="1:7" s="26" customFormat="1" ht="15.75" x14ac:dyDescent="0.2">
      <c r="B24" s="23" t="s">
        <v>64</v>
      </c>
      <c r="C24" s="25" t="s">
        <v>65</v>
      </c>
      <c r="D24" s="25" t="s">
        <v>66</v>
      </c>
      <c r="F24" s="27"/>
      <c r="G24" s="27"/>
    </row>
    <row r="25" spans="1:7" s="26" customFormat="1" ht="15.75" x14ac:dyDescent="0.2">
      <c r="B25" s="23" t="s">
        <v>67</v>
      </c>
      <c r="C25" s="25" t="s">
        <v>68</v>
      </c>
      <c r="D25" s="25" t="s">
        <v>69</v>
      </c>
      <c r="F25" s="27"/>
      <c r="G25" s="27"/>
    </row>
    <row r="26" spans="1:7" s="26" customFormat="1" ht="15.75" x14ac:dyDescent="0.2">
      <c r="B26" s="23" t="s">
        <v>70</v>
      </c>
      <c r="C26" s="25" t="s">
        <v>71</v>
      </c>
      <c r="D26" s="25" t="s">
        <v>72</v>
      </c>
      <c r="F26" s="27"/>
      <c r="G26" s="27"/>
    </row>
    <row r="27" spans="1:7" s="26" customFormat="1" ht="15.75" x14ac:dyDescent="0.2">
      <c r="A27" s="27"/>
      <c r="B27" s="23" t="s">
        <v>73</v>
      </c>
      <c r="C27" s="25" t="s">
        <v>74</v>
      </c>
      <c r="D27" s="25" t="s">
        <v>75</v>
      </c>
      <c r="F27" s="27"/>
      <c r="G27" s="27"/>
    </row>
    <row r="28" spans="1:7" s="26" customFormat="1" ht="15.75" x14ac:dyDescent="0.2">
      <c r="A28" s="27"/>
      <c r="B28" s="23" t="s">
        <v>76</v>
      </c>
      <c r="C28" s="25" t="s">
        <v>77</v>
      </c>
      <c r="D28" s="25" t="s">
        <v>78</v>
      </c>
      <c r="F28" s="27"/>
      <c r="G28" s="27"/>
    </row>
    <row r="29" spans="1:7" s="26" customFormat="1" ht="15.75" x14ac:dyDescent="0.2">
      <c r="A29" s="27"/>
      <c r="B29" s="23"/>
      <c r="C29" s="25"/>
      <c r="D29" s="25"/>
      <c r="F29" s="27"/>
      <c r="G29" s="27"/>
    </row>
    <row r="30" spans="1:7" s="26" customFormat="1" ht="15.75" x14ac:dyDescent="0.2">
      <c r="A30" s="27"/>
      <c r="B30" s="23"/>
      <c r="C30" s="25"/>
      <c r="D30" s="25"/>
      <c r="F30" s="27"/>
      <c r="G30" s="27"/>
    </row>
    <row r="31" spans="1:7" s="26" customFormat="1" ht="15.75" x14ac:dyDescent="0.2">
      <c r="A31" s="27"/>
      <c r="B31" s="23"/>
      <c r="C31" s="25"/>
      <c r="D31" s="25"/>
      <c r="F31" s="27"/>
      <c r="G31" s="27"/>
    </row>
    <row r="32" spans="1:7" s="26" customFormat="1" ht="15.75" x14ac:dyDescent="0.2">
      <c r="A32" s="27"/>
      <c r="B32" s="23"/>
      <c r="C32" s="25"/>
      <c r="D32" s="25"/>
      <c r="F32" s="27"/>
      <c r="G32" s="27"/>
    </row>
    <row r="33" spans="2:4" s="26" customFormat="1" ht="15.75" x14ac:dyDescent="0.2">
      <c r="B33" s="23"/>
      <c r="C33" s="25"/>
      <c r="D33" s="25"/>
    </row>
    <row r="34" spans="2:4" s="26" customFormat="1" ht="15.75" x14ac:dyDescent="0.2">
      <c r="B34" s="23"/>
      <c r="C34" s="25"/>
      <c r="D34" s="25"/>
    </row>
    <row r="35" spans="2:4" s="26" customFormat="1" ht="15.75" x14ac:dyDescent="0.2">
      <c r="B35" s="23"/>
      <c r="C35" s="25"/>
      <c r="D35" s="25"/>
    </row>
    <row r="36" spans="2:4" s="26" customFormat="1" ht="15.75" x14ac:dyDescent="0.2">
      <c r="B36" s="23"/>
      <c r="C36" s="25"/>
      <c r="D36" s="25"/>
    </row>
    <row r="37" spans="2:4" s="26" customFormat="1" ht="15.75" x14ac:dyDescent="0.2">
      <c r="B37" s="23"/>
      <c r="C37" s="25"/>
      <c r="D37" s="25"/>
    </row>
    <row r="38" spans="2:4" s="26" customFormat="1" ht="15.75" x14ac:dyDescent="0.2">
      <c r="B38" s="23"/>
      <c r="C38" s="25"/>
      <c r="D38" s="24"/>
    </row>
    <row r="39" spans="2:4" s="26" customFormat="1" ht="15.75" x14ac:dyDescent="0.2">
      <c r="B39" s="23"/>
      <c r="C39" s="25"/>
      <c r="D39" s="24"/>
    </row>
    <row r="40" spans="2:4" s="26" customFormat="1" ht="15.75" x14ac:dyDescent="0.2">
      <c r="B40" s="23"/>
      <c r="C40" s="25"/>
      <c r="D40" s="24"/>
    </row>
    <row r="41" spans="2:4" s="26" customFormat="1" ht="15.75" x14ac:dyDescent="0.2">
      <c r="B41" s="23"/>
      <c r="C41" s="25"/>
      <c r="D41" s="24"/>
    </row>
    <row r="42" spans="2:4" s="26" customFormat="1" ht="15.75" x14ac:dyDescent="0.2">
      <c r="B42" s="28"/>
      <c r="C42" s="24"/>
      <c r="D42" s="24"/>
    </row>
    <row r="43" spans="2:4" s="26" customFormat="1" ht="15.75" x14ac:dyDescent="0.2">
      <c r="B43" s="28"/>
      <c r="C43" s="24"/>
      <c r="D43" s="24"/>
    </row>
    <row r="44" spans="2:4" s="26" customFormat="1" ht="15.75" x14ac:dyDescent="0.2">
      <c r="B44" s="28"/>
      <c r="C44" s="24"/>
      <c r="D44" s="24"/>
    </row>
    <row r="45" spans="2:4" s="26" customFormat="1" ht="15.75" x14ac:dyDescent="0.2">
      <c r="B45" s="28"/>
      <c r="C45" s="24"/>
      <c r="D45" s="24"/>
    </row>
    <row r="46" spans="2:4" s="26" customFormat="1" ht="15.75" x14ac:dyDescent="0.2">
      <c r="B46" s="28"/>
      <c r="C46" s="24"/>
      <c r="D46" s="24"/>
    </row>
    <row r="47" spans="2:4" s="26" customFormat="1" ht="15.75" x14ac:dyDescent="0.2">
      <c r="B47" s="28"/>
      <c r="C47" s="24"/>
      <c r="D47" s="24"/>
    </row>
    <row r="48" spans="2:4" s="26" customFormat="1" ht="15.75" x14ac:dyDescent="0.2">
      <c r="B48" s="28"/>
      <c r="C48" s="24"/>
      <c r="D48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 xml:space="preserve">&amp;RPage  2 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29"/>
  <sheetViews>
    <sheetView zoomScaleNormal="100" workbookViewId="0">
      <selection activeCell="C10" sqref="C10:C11"/>
    </sheetView>
  </sheetViews>
  <sheetFormatPr baseColWidth="10" defaultRowHeight="12.75" x14ac:dyDescent="0.2"/>
  <cols>
    <col min="2" max="2" width="14.7109375" customWidth="1"/>
    <col min="6" max="6" width="8" customWidth="1"/>
    <col min="7" max="7" width="12.7109375" customWidth="1"/>
    <col min="8" max="8" width="15.7109375" customWidth="1"/>
  </cols>
  <sheetData>
    <row r="1" spans="1:11" ht="15.75" x14ac:dyDescent="0.25">
      <c r="A1" s="33" t="s">
        <v>9</v>
      </c>
      <c r="G1" s="33"/>
      <c r="K1" s="34" t="str">
        <f>couverture!D15</f>
        <v xml:space="preserve">1er juillet 2014 </v>
      </c>
    </row>
    <row r="4" spans="1:11" x14ac:dyDescent="0.2">
      <c r="A4" s="35" t="s">
        <v>112</v>
      </c>
      <c r="G4" s="35" t="s">
        <v>113</v>
      </c>
    </row>
    <row r="6" spans="1:11" ht="25.5" customHeight="1" x14ac:dyDescent="0.2">
      <c r="C6" s="36">
        <v>41821</v>
      </c>
      <c r="D6" s="36">
        <v>41456</v>
      </c>
      <c r="E6" s="37" t="s">
        <v>114</v>
      </c>
      <c r="I6" s="36">
        <v>41821</v>
      </c>
      <c r="J6" s="36">
        <v>41456</v>
      </c>
      <c r="K6" s="37" t="s">
        <v>114</v>
      </c>
    </row>
    <row r="7" spans="1:11" ht="25.5" customHeight="1" x14ac:dyDescent="0.2">
      <c r="A7" s="473" t="s">
        <v>115</v>
      </c>
      <c r="B7" s="473"/>
      <c r="C7" s="38">
        <v>80720</v>
      </c>
      <c r="D7" s="39">
        <v>80700</v>
      </c>
      <c r="E7" s="51">
        <f>IF(D7&gt;0,(C7/D7)-1,"-")</f>
        <v>2.4783147459728205E-4</v>
      </c>
      <c r="G7" s="464" t="s">
        <v>115</v>
      </c>
      <c r="H7" s="464"/>
      <c r="I7" s="38">
        <f>I9+I10+I11</f>
        <v>14229</v>
      </c>
      <c r="J7" s="39">
        <f>J9+J10+J11</f>
        <v>13900</v>
      </c>
      <c r="K7" s="40">
        <f>(I7/J7)-1</f>
        <v>2.3669064748201407E-2</v>
      </c>
    </row>
    <row r="8" spans="1:11" ht="15.75" x14ac:dyDescent="0.2">
      <c r="A8" s="41"/>
      <c r="B8" s="41"/>
      <c r="C8" s="42"/>
      <c r="D8" s="43"/>
      <c r="E8" s="459"/>
      <c r="I8" s="42"/>
      <c r="J8" s="43"/>
      <c r="K8" s="44"/>
    </row>
    <row r="9" spans="1:11" ht="25.5" customHeight="1" x14ac:dyDescent="0.2">
      <c r="A9" s="472" t="s">
        <v>116</v>
      </c>
      <c r="B9" s="472"/>
      <c r="C9" s="45">
        <v>12425</v>
      </c>
      <c r="D9" s="46">
        <v>12131</v>
      </c>
      <c r="E9" s="47">
        <f>IF(D9&gt;0,(C9/D9)-1,"-")</f>
        <v>2.4235429890363536E-2</v>
      </c>
      <c r="G9" s="469" t="s">
        <v>117</v>
      </c>
      <c r="H9" s="469"/>
      <c r="I9" s="48">
        <f>C16</f>
        <v>1951</v>
      </c>
      <c r="J9" s="46">
        <f>D16</f>
        <v>1993</v>
      </c>
      <c r="K9" s="47">
        <f>(I9/J9)-1</f>
        <v>-2.1073758153537403E-2</v>
      </c>
    </row>
    <row r="10" spans="1:11" ht="42" customHeight="1" x14ac:dyDescent="0.2">
      <c r="A10" s="463" t="s">
        <v>233</v>
      </c>
      <c r="B10" s="474"/>
      <c r="C10" s="49">
        <v>11210</v>
      </c>
      <c r="D10" s="50">
        <v>10846</v>
      </c>
      <c r="E10" s="51">
        <f>IF(D10&gt;0,(C10/D10)-1,"-")</f>
        <v>3.3560759727088385E-2</v>
      </c>
      <c r="G10" s="467" t="s">
        <v>233</v>
      </c>
      <c r="H10" s="468"/>
      <c r="I10" s="49">
        <f>C10</f>
        <v>11210</v>
      </c>
      <c r="J10" s="50">
        <f>D10</f>
        <v>10846</v>
      </c>
      <c r="K10" s="51">
        <f>(I10/J10)-1</f>
        <v>3.3560759727088385E-2</v>
      </c>
    </row>
    <row r="11" spans="1:11" ht="42" customHeight="1" x14ac:dyDescent="0.2">
      <c r="A11" s="463" t="s">
        <v>234</v>
      </c>
      <c r="B11" s="463"/>
      <c r="C11" s="49">
        <v>553</v>
      </c>
      <c r="D11" s="50">
        <v>629</v>
      </c>
      <c r="E11" s="51">
        <f>IF(D11&gt;0,(C11/D11)-1,"-")</f>
        <v>-0.12082670906200321</v>
      </c>
      <c r="G11" s="463" t="s">
        <v>119</v>
      </c>
      <c r="H11" s="463"/>
      <c r="I11" s="49">
        <f>C12+C17</f>
        <v>1068</v>
      </c>
      <c r="J11" s="50">
        <f>D12+D17</f>
        <v>1061</v>
      </c>
      <c r="K11" s="51">
        <f>(I11/J11)-1</f>
        <v>6.5975494816210567E-3</v>
      </c>
    </row>
    <row r="12" spans="1:11" ht="25.5" customHeight="1" x14ac:dyDescent="0.2">
      <c r="A12" s="463" t="s">
        <v>118</v>
      </c>
      <c r="B12" s="463"/>
      <c r="C12" s="49">
        <v>662</v>
      </c>
      <c r="D12" s="50">
        <v>656</v>
      </c>
      <c r="E12" s="51">
        <f>(C12/D12)-1</f>
        <v>9.1463414634145312E-3</v>
      </c>
      <c r="G12" s="52"/>
      <c r="H12" s="52"/>
      <c r="I12" s="53"/>
      <c r="J12" s="53"/>
      <c r="K12" s="54"/>
    </row>
    <row r="13" spans="1:11" ht="15.75" x14ac:dyDescent="0.2">
      <c r="A13" s="41"/>
      <c r="B13" s="41"/>
      <c r="C13" s="42"/>
      <c r="D13" s="43"/>
      <c r="E13" s="44"/>
      <c r="G13" s="470" t="s">
        <v>121</v>
      </c>
      <c r="H13" s="470"/>
      <c r="I13" s="465">
        <f>(I7*100)/(C18+C17+C16+C12+C10+C11)</f>
        <v>22.604730964144441</v>
      </c>
      <c r="J13" s="465">
        <f>(J7*100)/(D18+D17+D16+D12+D10+D11)</f>
        <v>21.930516550440188</v>
      </c>
      <c r="K13" s="55"/>
    </row>
    <row r="14" spans="1:11" ht="24.75" customHeight="1" x14ac:dyDescent="0.2">
      <c r="A14" s="472" t="s">
        <v>120</v>
      </c>
      <c r="B14" s="472"/>
      <c r="C14" s="45">
        <v>68295</v>
      </c>
      <c r="D14" s="46">
        <v>68569</v>
      </c>
      <c r="E14" s="47">
        <f>(C14/D14)-1</f>
        <v>-3.9959748574428522E-3</v>
      </c>
      <c r="G14" s="471"/>
      <c r="H14" s="471"/>
      <c r="I14" s="466"/>
      <c r="J14" s="466"/>
      <c r="K14" s="55"/>
    </row>
    <row r="15" spans="1:11" ht="25.5" customHeight="1" x14ac:dyDescent="0.2">
      <c r="A15" s="463" t="s">
        <v>122</v>
      </c>
      <c r="B15" s="463"/>
      <c r="C15" s="49">
        <v>17773</v>
      </c>
      <c r="D15" s="50">
        <v>17318</v>
      </c>
      <c r="E15" s="51">
        <f>(C15/D15)-1</f>
        <v>2.6273241713823836E-2</v>
      </c>
      <c r="I15" s="338"/>
    </row>
    <row r="16" spans="1:11" ht="25.5" customHeight="1" x14ac:dyDescent="0.2">
      <c r="A16" s="463" t="s">
        <v>117</v>
      </c>
      <c r="B16" s="463"/>
      <c r="C16" s="49">
        <v>1951</v>
      </c>
      <c r="D16" s="50">
        <v>1993</v>
      </c>
      <c r="E16" s="51">
        <f>(C16/D16)-1</f>
        <v>-2.1073758153537403E-2</v>
      </c>
    </row>
    <row r="17" spans="1:9" ht="25.5" customHeight="1" x14ac:dyDescent="0.2">
      <c r="A17" s="463" t="s">
        <v>123</v>
      </c>
      <c r="B17" s="463"/>
      <c r="C17" s="49">
        <v>406</v>
      </c>
      <c r="D17" s="50">
        <v>405</v>
      </c>
      <c r="E17" s="51">
        <f>(C17/D17)-1</f>
        <v>2.4691358024691024E-3</v>
      </c>
      <c r="G17" s="35" t="s">
        <v>629</v>
      </c>
      <c r="I17" s="462">
        <v>1197</v>
      </c>
    </row>
    <row r="18" spans="1:9" ht="25.5" customHeight="1" x14ac:dyDescent="0.2">
      <c r="A18" s="463" t="s">
        <v>124</v>
      </c>
      <c r="B18" s="463"/>
      <c r="C18" s="49">
        <f>C14-C15-C16-C17</f>
        <v>48165</v>
      </c>
      <c r="D18" s="49">
        <f>D14-D15-D16-D17</f>
        <v>48853</v>
      </c>
      <c r="E18" s="51">
        <f>(C18/D18)-1</f>
        <v>-1.4083065523099902E-2</v>
      </c>
    </row>
    <row r="21" spans="1:9" x14ac:dyDescent="0.2">
      <c r="A21" s="35" t="s">
        <v>125</v>
      </c>
    </row>
    <row r="23" spans="1:9" x14ac:dyDescent="0.2">
      <c r="B23" s="56" t="s">
        <v>497</v>
      </c>
    </row>
    <row r="24" spans="1:9" x14ac:dyDescent="0.2">
      <c r="B24" s="57" t="s">
        <v>498</v>
      </c>
    </row>
    <row r="25" spans="1:9" x14ac:dyDescent="0.2">
      <c r="B25" s="56" t="s">
        <v>499</v>
      </c>
    </row>
    <row r="26" spans="1:9" x14ac:dyDescent="0.2">
      <c r="B26" s="56" t="s">
        <v>500</v>
      </c>
    </row>
    <row r="27" spans="1:9" x14ac:dyDescent="0.2">
      <c r="B27" s="56" t="s">
        <v>501</v>
      </c>
    </row>
    <row r="29" spans="1:9" x14ac:dyDescent="0.2">
      <c r="A29" s="58" t="s">
        <v>126</v>
      </c>
      <c r="B29" s="58"/>
      <c r="C29" s="58"/>
      <c r="D29" s="59">
        <f>'tab6 densité'!D16</f>
        <v>57712</v>
      </c>
      <c r="E29" s="60"/>
    </row>
  </sheetData>
  <mergeCells count="17">
    <mergeCell ref="A18:B18"/>
    <mergeCell ref="G10:H10"/>
    <mergeCell ref="G9:H9"/>
    <mergeCell ref="G11:H11"/>
    <mergeCell ref="G13:H14"/>
    <mergeCell ref="A14:B14"/>
    <mergeCell ref="A15:B15"/>
    <mergeCell ref="A16:B16"/>
    <mergeCell ref="A17:B17"/>
    <mergeCell ref="A9:B9"/>
    <mergeCell ref="A10:B10"/>
    <mergeCell ref="A12:B12"/>
    <mergeCell ref="A11:B11"/>
    <mergeCell ref="G7:H7"/>
    <mergeCell ref="I13:I14"/>
    <mergeCell ref="J13:J14"/>
    <mergeCell ref="A7:B7"/>
  </mergeCells>
  <phoneticPr fontId="0" type="noConversion"/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&amp;Rpage 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N15"/>
  <sheetViews>
    <sheetView zoomScaleNormal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11" width="11.42578125" style="32" customWidth="1"/>
  </cols>
  <sheetData>
    <row r="1" spans="1:14" ht="15" customHeight="1" x14ac:dyDescent="0.2">
      <c r="A1" s="27"/>
      <c r="B1" s="23" t="s">
        <v>79</v>
      </c>
      <c r="C1" s="25" t="s">
        <v>80</v>
      </c>
      <c r="D1" s="25" t="s">
        <v>81</v>
      </c>
      <c r="E1" s="26"/>
      <c r="F1" s="27"/>
      <c r="G1" s="27"/>
      <c r="H1" s="26"/>
      <c r="I1" s="26"/>
    </row>
    <row r="2" spans="1:14" ht="15" customHeight="1" x14ac:dyDescent="0.2">
      <c r="A2" s="26"/>
      <c r="B2" s="23" t="s">
        <v>82</v>
      </c>
      <c r="C2" s="25" t="s">
        <v>83</v>
      </c>
      <c r="D2" s="25" t="s">
        <v>84</v>
      </c>
      <c r="E2" s="26"/>
      <c r="F2" s="27"/>
      <c r="G2" s="27"/>
      <c r="H2" s="26"/>
      <c r="I2" s="26"/>
    </row>
    <row r="3" spans="1:14" ht="15" customHeight="1" x14ac:dyDescent="0.2">
      <c r="A3" s="26"/>
      <c r="B3" s="23" t="s">
        <v>85</v>
      </c>
      <c r="C3" s="25" t="s">
        <v>86</v>
      </c>
      <c r="D3" s="25" t="s">
        <v>87</v>
      </c>
      <c r="E3" s="26"/>
      <c r="F3" s="26"/>
      <c r="G3" s="26"/>
      <c r="H3" s="26"/>
      <c r="I3" s="26"/>
    </row>
    <row r="4" spans="1:14" ht="15" customHeight="1" x14ac:dyDescent="0.2">
      <c r="A4" s="26"/>
      <c r="B4" s="23" t="s">
        <v>88</v>
      </c>
      <c r="C4" s="25" t="s">
        <v>89</v>
      </c>
      <c r="D4" s="25" t="s">
        <v>90</v>
      </c>
      <c r="E4" s="26"/>
      <c r="F4" s="26"/>
      <c r="G4" s="26"/>
      <c r="H4" s="26"/>
      <c r="I4" s="26"/>
    </row>
    <row r="5" spans="1:14" ht="15" customHeight="1" x14ac:dyDescent="0.2">
      <c r="A5" s="26"/>
      <c r="B5" s="23" t="s">
        <v>91</v>
      </c>
      <c r="C5" s="25" t="s">
        <v>92</v>
      </c>
      <c r="D5" s="25" t="s">
        <v>93</v>
      </c>
      <c r="E5" s="26"/>
      <c r="F5" s="26"/>
      <c r="G5" s="26"/>
      <c r="H5" s="26"/>
      <c r="I5" s="26"/>
    </row>
    <row r="6" spans="1:14" ht="15" customHeight="1" x14ac:dyDescent="0.2">
      <c r="A6" s="26"/>
      <c r="B6" s="23" t="s">
        <v>94</v>
      </c>
      <c r="C6" s="25" t="s">
        <v>95</v>
      </c>
      <c r="D6" s="25" t="s">
        <v>96</v>
      </c>
      <c r="E6" s="26"/>
      <c r="F6" s="26"/>
      <c r="G6" s="26"/>
      <c r="H6" s="26"/>
      <c r="I6" s="26"/>
    </row>
    <row r="7" spans="1:14" ht="15" customHeight="1" x14ac:dyDescent="0.2">
      <c r="A7" s="26"/>
      <c r="B7" s="23" t="s">
        <v>97</v>
      </c>
      <c r="C7" s="25" t="s">
        <v>98</v>
      </c>
      <c r="D7" s="25" t="s">
        <v>99</v>
      </c>
      <c r="E7" s="26"/>
      <c r="F7" s="26"/>
      <c r="G7" s="26"/>
      <c r="H7" s="26"/>
      <c r="I7" s="26"/>
    </row>
    <row r="8" spans="1:14" ht="15" customHeight="1" x14ac:dyDescent="0.2">
      <c r="A8" s="26"/>
      <c r="B8" s="23" t="s">
        <v>100</v>
      </c>
      <c r="C8" s="25" t="s">
        <v>101</v>
      </c>
      <c r="D8" s="24" t="s">
        <v>102</v>
      </c>
      <c r="E8" s="26"/>
      <c r="F8" s="26"/>
      <c r="G8" s="26"/>
      <c r="H8" s="26"/>
      <c r="I8" s="26"/>
    </row>
    <row r="9" spans="1:14" ht="15" customHeight="1" x14ac:dyDescent="0.2">
      <c r="A9" s="26"/>
      <c r="B9" s="23" t="s">
        <v>103</v>
      </c>
      <c r="C9" s="25" t="s">
        <v>104</v>
      </c>
      <c r="D9" s="24" t="s">
        <v>105</v>
      </c>
      <c r="E9" s="26"/>
      <c r="F9" s="26"/>
      <c r="G9" s="26"/>
      <c r="H9" s="26"/>
      <c r="I9" s="26"/>
    </row>
    <row r="10" spans="1:14" ht="15" customHeight="1" x14ac:dyDescent="0.2">
      <c r="A10" s="26"/>
      <c r="B10" s="23" t="s">
        <v>106</v>
      </c>
      <c r="C10" s="25" t="s">
        <v>107</v>
      </c>
      <c r="D10" s="24" t="s">
        <v>108</v>
      </c>
      <c r="E10" s="26"/>
      <c r="F10" s="26"/>
      <c r="G10" s="26"/>
      <c r="H10" s="26"/>
      <c r="I10" s="26"/>
    </row>
    <row r="11" spans="1:14" ht="15" customHeight="1" x14ac:dyDescent="0.2">
      <c r="A11" s="26"/>
      <c r="B11" s="23" t="s">
        <v>109</v>
      </c>
      <c r="C11" s="25" t="s">
        <v>110</v>
      </c>
      <c r="D11" s="24" t="s">
        <v>111</v>
      </c>
      <c r="E11" s="26"/>
      <c r="F11" s="26"/>
      <c r="G11" s="26"/>
      <c r="H11" s="26"/>
      <c r="I11" s="26"/>
    </row>
    <row r="12" spans="1:14" ht="15" customHeight="1" x14ac:dyDescent="0.2">
      <c r="A12" s="26"/>
      <c r="B12" s="347" t="s">
        <v>241</v>
      </c>
      <c r="C12" s="348" t="s">
        <v>242</v>
      </c>
      <c r="D12" s="349" t="s">
        <v>243</v>
      </c>
      <c r="E12" s="350"/>
      <c r="F12" s="350"/>
      <c r="G12" s="350"/>
      <c r="H12" s="350"/>
      <c r="I12" s="350"/>
      <c r="J12" s="351"/>
      <c r="K12" s="351"/>
      <c r="L12" s="352"/>
      <c r="M12" s="352"/>
      <c r="N12" s="352"/>
    </row>
    <row r="13" spans="1:14" ht="15" customHeight="1" x14ac:dyDescent="0.2">
      <c r="B13" s="353" t="s">
        <v>244</v>
      </c>
      <c r="C13" s="354" t="s">
        <v>245</v>
      </c>
      <c r="D13" s="354" t="s">
        <v>246</v>
      </c>
      <c r="E13" s="355"/>
      <c r="F13" s="355"/>
      <c r="G13" s="355"/>
      <c r="H13" s="355"/>
      <c r="I13" s="355"/>
      <c r="J13" s="355"/>
      <c r="K13" s="355"/>
      <c r="L13" s="356"/>
      <c r="M13" s="356"/>
      <c r="N13" s="356"/>
    </row>
    <row r="14" spans="1:14" ht="15" customHeight="1" x14ac:dyDescent="0.2">
      <c r="B14" s="353" t="s">
        <v>247</v>
      </c>
      <c r="C14" s="354" t="s">
        <v>248</v>
      </c>
      <c r="D14" s="357" t="s">
        <v>249</v>
      </c>
      <c r="E14" s="355"/>
      <c r="F14" s="355"/>
      <c r="G14" s="355"/>
      <c r="H14" s="355"/>
      <c r="I14" s="355"/>
      <c r="J14" s="355"/>
      <c r="K14" s="355"/>
      <c r="L14" s="356"/>
      <c r="M14" s="356"/>
      <c r="N14" s="356"/>
    </row>
    <row r="15" spans="1:14" ht="15" customHeight="1" x14ac:dyDescent="0.2">
      <c r="B15" s="353" t="s">
        <v>250</v>
      </c>
      <c r="C15" s="354" t="s">
        <v>251</v>
      </c>
      <c r="D15" s="357" t="s">
        <v>252</v>
      </c>
      <c r="E15" s="355"/>
      <c r="F15" s="355"/>
      <c r="G15" s="355"/>
      <c r="H15" s="355"/>
      <c r="I15" s="355"/>
      <c r="J15" s="355"/>
      <c r="K15" s="355"/>
      <c r="L15" s="356"/>
      <c r="M15" s="356"/>
      <c r="N15" s="356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 xml:space="preserve">&amp;RPage 3
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zoomScaleNormal="100" workbookViewId="0"/>
  </sheetViews>
  <sheetFormatPr baseColWidth="10" defaultRowHeight="12.75" x14ac:dyDescent="0.2"/>
  <cols>
    <col min="1" max="1" width="14.5703125" style="29" bestFit="1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61" t="s">
        <v>11</v>
      </c>
      <c r="C1" s="62"/>
      <c r="D1" s="62"/>
      <c r="E1" s="62"/>
    </row>
    <row r="2" spans="1:6" ht="18.75" x14ac:dyDescent="0.2">
      <c r="B2" s="61" t="s">
        <v>127</v>
      </c>
      <c r="C2" s="62"/>
      <c r="D2" s="62"/>
      <c r="E2" s="62"/>
    </row>
    <row r="3" spans="1:6" ht="19.5" x14ac:dyDescent="0.2">
      <c r="B3" s="63" t="s">
        <v>128</v>
      </c>
      <c r="C3" s="62"/>
      <c r="D3" s="62"/>
      <c r="E3" s="62"/>
    </row>
    <row r="5" spans="1:6" ht="15" x14ac:dyDescent="0.2">
      <c r="A5" s="64" t="s">
        <v>129</v>
      </c>
      <c r="B5" s="65" t="s">
        <v>130</v>
      </c>
      <c r="C5" s="66"/>
      <c r="D5" s="66"/>
      <c r="E5" s="66"/>
      <c r="F5" s="67"/>
    </row>
    <row r="6" spans="1:6" ht="15" x14ac:dyDescent="0.2">
      <c r="A6" s="68" t="s">
        <v>131</v>
      </c>
      <c r="B6" s="69" t="str">
        <f>couverture!D15</f>
        <v xml:space="preserve">1er juillet 2014 </v>
      </c>
      <c r="C6" s="70"/>
      <c r="D6" s="70"/>
      <c r="E6" s="70"/>
      <c r="F6" s="71"/>
    </row>
    <row r="7" spans="1:6" ht="15" x14ac:dyDescent="0.2">
      <c r="A7" s="68" t="s">
        <v>132</v>
      </c>
      <c r="B7" s="69" t="s">
        <v>133</v>
      </c>
      <c r="C7" s="70"/>
      <c r="D7" s="70"/>
      <c r="E7" s="70"/>
      <c r="F7" s="71"/>
    </row>
    <row r="8" spans="1:6" ht="15" x14ac:dyDescent="0.2">
      <c r="A8" s="72"/>
      <c r="B8" s="73"/>
      <c r="C8" s="73"/>
      <c r="D8" s="73"/>
      <c r="E8" s="73"/>
      <c r="F8" s="74"/>
    </row>
    <row r="9" spans="1:6" ht="13.5" x14ac:dyDescent="0.2">
      <c r="A9" s="75"/>
      <c r="B9" s="76"/>
      <c r="C9" s="76"/>
      <c r="D9" s="76"/>
      <c r="E9" s="76"/>
    </row>
    <row r="11" spans="1:6" s="77" customFormat="1" ht="40.5" customHeight="1" x14ac:dyDescent="0.2">
      <c r="C11" s="78" t="s">
        <v>134</v>
      </c>
      <c r="D11" s="79" t="s">
        <v>135</v>
      </c>
      <c r="E11" s="80" t="s">
        <v>115</v>
      </c>
    </row>
    <row r="12" spans="1:6" ht="15" x14ac:dyDescent="0.2">
      <c r="B12" s="81" t="s">
        <v>136</v>
      </c>
      <c r="C12" s="82">
        <v>63684</v>
      </c>
      <c r="D12" s="83">
        <v>11868</v>
      </c>
      <c r="E12" s="84">
        <f>C12+D12</f>
        <v>75552</v>
      </c>
    </row>
    <row r="13" spans="1:6" ht="15" x14ac:dyDescent="0.2">
      <c r="B13" s="85"/>
      <c r="C13" s="86"/>
      <c r="D13" s="87"/>
      <c r="E13" s="88"/>
    </row>
    <row r="14" spans="1:6" ht="15" x14ac:dyDescent="0.2">
      <c r="B14" s="89" t="s">
        <v>137</v>
      </c>
      <c r="C14" s="90">
        <v>4611</v>
      </c>
      <c r="D14" s="90">
        <v>557</v>
      </c>
      <c r="E14" s="88">
        <f>C14+D14</f>
        <v>5168</v>
      </c>
    </row>
    <row r="15" spans="1:6" ht="15" x14ac:dyDescent="0.2">
      <c r="B15" s="91"/>
      <c r="C15" s="86"/>
      <c r="D15" s="87"/>
      <c r="E15" s="88"/>
    </row>
    <row r="16" spans="1:6" ht="15" x14ac:dyDescent="0.2">
      <c r="B16" s="92" t="s">
        <v>138</v>
      </c>
      <c r="C16" s="93">
        <f>SUM(C12:C14)</f>
        <v>68295</v>
      </c>
      <c r="D16" s="94">
        <f>SUM(D12:D14)</f>
        <v>12425</v>
      </c>
      <c r="E16" s="95">
        <f>C16+D16</f>
        <v>80720</v>
      </c>
    </row>
    <row r="17" spans="2:6" ht="13.5" x14ac:dyDescent="0.2">
      <c r="B17" s="96"/>
      <c r="C17" s="97"/>
      <c r="D17" s="97"/>
      <c r="E17" s="97"/>
    </row>
    <row r="19" spans="2:6" ht="13.5" x14ac:dyDescent="0.2">
      <c r="B19" s="98"/>
      <c r="C19" s="98"/>
      <c r="D19" s="98"/>
      <c r="E19" s="98"/>
      <c r="F19" s="98"/>
    </row>
    <row r="20" spans="2:6" ht="13.5" x14ac:dyDescent="0.2">
      <c r="B20" s="98"/>
      <c r="C20" s="98"/>
      <c r="D20" s="98"/>
      <c r="E20" s="98"/>
      <c r="F20" s="98"/>
    </row>
    <row r="21" spans="2:6" ht="13.5" x14ac:dyDescent="0.2">
      <c r="B21" s="98"/>
      <c r="C21" s="98"/>
      <c r="D21" s="98"/>
      <c r="E21" s="98"/>
      <c r="F21" s="98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tabSelected="1" zoomScaleNormal="100" workbookViewId="0">
      <selection activeCell="G14" sqref="G14"/>
    </sheetView>
  </sheetViews>
  <sheetFormatPr baseColWidth="10" defaultRowHeight="15" x14ac:dyDescent="0.25"/>
  <cols>
    <col min="1" max="1" width="12.42578125" style="100" bestFit="1" customWidth="1"/>
    <col min="2" max="2" width="20.7109375" style="100" customWidth="1"/>
    <col min="3" max="3" width="19.28515625" style="100" customWidth="1"/>
    <col min="4" max="4" width="19.5703125" style="100" customWidth="1"/>
    <col min="5" max="5" width="19.140625" style="100" customWidth="1"/>
    <col min="6" max="6" width="18.28515625" style="100" customWidth="1"/>
    <col min="7" max="7" width="21.85546875" style="100" customWidth="1"/>
    <col min="8" max="16384" width="11.42578125" style="100"/>
  </cols>
  <sheetData>
    <row r="1" spans="1:7" ht="18.75" x14ac:dyDescent="0.25">
      <c r="A1" s="99"/>
      <c r="B1" s="61" t="s">
        <v>14</v>
      </c>
      <c r="C1" s="61"/>
      <c r="D1" s="61"/>
      <c r="E1" s="61"/>
      <c r="F1" s="61"/>
      <c r="G1" s="99"/>
    </row>
    <row r="2" spans="1:7" ht="18.75" x14ac:dyDescent="0.25">
      <c r="A2" s="99"/>
      <c r="B2" s="61" t="s">
        <v>139</v>
      </c>
      <c r="C2" s="61"/>
      <c r="D2" s="61"/>
      <c r="E2" s="61"/>
      <c r="F2" s="61"/>
      <c r="G2" s="99"/>
    </row>
    <row r="3" spans="1:7" x14ac:dyDescent="0.25">
      <c r="A3" s="99"/>
      <c r="B3" s="99"/>
      <c r="C3" s="99"/>
      <c r="D3" s="99"/>
      <c r="E3" s="99"/>
      <c r="F3" s="99"/>
      <c r="G3" s="99"/>
    </row>
    <row r="4" spans="1:7" x14ac:dyDescent="0.25">
      <c r="A4" s="64" t="s">
        <v>129</v>
      </c>
      <c r="B4" s="65" t="s">
        <v>130</v>
      </c>
      <c r="C4" s="66"/>
      <c r="D4" s="66"/>
      <c r="E4" s="66"/>
      <c r="F4" s="66"/>
      <c r="G4" s="101"/>
    </row>
    <row r="5" spans="1:7" x14ac:dyDescent="0.25">
      <c r="A5" s="68" t="s">
        <v>131</v>
      </c>
      <c r="B5" s="69" t="str">
        <f>couverture!D15</f>
        <v xml:space="preserve">1er juillet 2014 </v>
      </c>
      <c r="C5" s="70"/>
      <c r="D5" s="70"/>
      <c r="E5" s="70"/>
      <c r="F5" s="70"/>
      <c r="G5" s="101"/>
    </row>
    <row r="6" spans="1:7" x14ac:dyDescent="0.25">
      <c r="A6" s="68" t="s">
        <v>132</v>
      </c>
      <c r="B6" s="69" t="s">
        <v>133</v>
      </c>
      <c r="C6" s="70"/>
      <c r="D6" s="70"/>
      <c r="E6" s="70"/>
      <c r="F6" s="70"/>
      <c r="G6" s="101"/>
    </row>
    <row r="7" spans="1:7" x14ac:dyDescent="0.25">
      <c r="A7" s="102"/>
      <c r="B7" s="101"/>
      <c r="C7" s="66"/>
      <c r="D7" s="66"/>
      <c r="E7" s="66"/>
      <c r="F7" s="66"/>
      <c r="G7" s="101"/>
    </row>
    <row r="8" spans="1:7" s="103" customFormat="1" ht="25.5" x14ac:dyDescent="0.2">
      <c r="B8" s="104" t="s">
        <v>140</v>
      </c>
      <c r="C8" s="105" t="s">
        <v>141</v>
      </c>
      <c r="D8" s="105" t="s">
        <v>142</v>
      </c>
      <c r="E8" s="105" t="s">
        <v>143</v>
      </c>
      <c r="F8" s="106" t="s">
        <v>144</v>
      </c>
      <c r="G8" s="107"/>
    </row>
    <row r="9" spans="1:7" s="103" customFormat="1" ht="12.75" x14ac:dyDescent="0.2">
      <c r="B9" s="108" t="s">
        <v>502</v>
      </c>
      <c r="C9" s="109">
        <v>17138</v>
      </c>
      <c r="D9" s="109">
        <v>50235</v>
      </c>
      <c r="E9" s="109">
        <v>67373</v>
      </c>
      <c r="F9" s="110">
        <v>0.68445042217739616</v>
      </c>
    </row>
    <row r="10" spans="1:7" s="103" customFormat="1" ht="12.75" x14ac:dyDescent="0.2">
      <c r="B10" s="108" t="s">
        <v>503</v>
      </c>
      <c r="C10" s="109">
        <v>16467</v>
      </c>
      <c r="D10" s="109">
        <v>50281</v>
      </c>
      <c r="E10" s="109">
        <v>66748</v>
      </c>
      <c r="F10" s="110">
        <v>-0.92767132233980698</v>
      </c>
    </row>
    <row r="11" spans="1:7" s="103" customFormat="1" ht="12.75" x14ac:dyDescent="0.2">
      <c r="B11" s="108" t="s">
        <v>504</v>
      </c>
      <c r="C11" s="109">
        <v>16266</v>
      </c>
      <c r="D11" s="109">
        <v>49860</v>
      </c>
      <c r="E11" s="109">
        <v>66126</v>
      </c>
      <c r="F11" s="110">
        <v>-0.93186312698507745</v>
      </c>
    </row>
    <row r="12" spans="1:7" s="103" customFormat="1" ht="12.75" x14ac:dyDescent="0.2">
      <c r="B12" s="108" t="s">
        <v>505</v>
      </c>
      <c r="C12" s="109">
        <v>16915</v>
      </c>
      <c r="D12" s="109">
        <v>49789</v>
      </c>
      <c r="E12" s="109">
        <v>66704</v>
      </c>
      <c r="F12" s="110">
        <v>0.87408886065996061</v>
      </c>
    </row>
    <row r="13" spans="1:7" s="103" customFormat="1" ht="12.75" x14ac:dyDescent="0.2">
      <c r="B13" s="108" t="s">
        <v>506</v>
      </c>
      <c r="C13" s="109">
        <v>16821</v>
      </c>
      <c r="D13" s="109">
        <v>50404</v>
      </c>
      <c r="E13" s="109">
        <v>67225</v>
      </c>
      <c r="F13" s="110">
        <v>0.78106260494124058</v>
      </c>
    </row>
    <row r="14" spans="1:7" s="103" customFormat="1" ht="12.75" x14ac:dyDescent="0.2">
      <c r="B14" s="108" t="s">
        <v>507</v>
      </c>
      <c r="C14" s="109">
        <v>16945</v>
      </c>
      <c r="D14" s="109">
        <v>50729</v>
      </c>
      <c r="E14" s="109">
        <v>67674</v>
      </c>
      <c r="F14" s="110">
        <v>0.6679062848642614</v>
      </c>
    </row>
    <row r="15" spans="1:7" s="103" customFormat="1" ht="12.75" x14ac:dyDescent="0.2">
      <c r="B15" s="108" t="s">
        <v>508</v>
      </c>
      <c r="C15" s="109">
        <v>16454</v>
      </c>
      <c r="D15" s="109">
        <v>50118</v>
      </c>
      <c r="E15" s="109">
        <v>66572</v>
      </c>
      <c r="F15" s="110">
        <v>-1.6283949522711838</v>
      </c>
    </row>
    <row r="16" spans="1:7" s="103" customFormat="1" ht="12.75" x14ac:dyDescent="0.2">
      <c r="B16" s="108" t="s">
        <v>509</v>
      </c>
      <c r="C16" s="109">
        <v>16754</v>
      </c>
      <c r="D16" s="109">
        <v>49992</v>
      </c>
      <c r="E16" s="109">
        <v>66746</v>
      </c>
      <c r="F16" s="110">
        <v>0.26137114702877717</v>
      </c>
    </row>
    <row r="17" spans="2:6" s="103" customFormat="1" ht="12.75" x14ac:dyDescent="0.2">
      <c r="B17" s="108" t="s">
        <v>510</v>
      </c>
      <c r="C17" s="109">
        <v>16799</v>
      </c>
      <c r="D17" s="109">
        <v>50196</v>
      </c>
      <c r="E17" s="109">
        <v>66995</v>
      </c>
      <c r="F17" s="110">
        <v>0.37305606328468244</v>
      </c>
    </row>
    <row r="18" spans="2:6" s="103" customFormat="1" ht="12.75" x14ac:dyDescent="0.2">
      <c r="B18" s="108" t="s">
        <v>511</v>
      </c>
      <c r="C18" s="109">
        <v>17166</v>
      </c>
      <c r="D18" s="109">
        <v>50327</v>
      </c>
      <c r="E18" s="109">
        <v>67493</v>
      </c>
      <c r="F18" s="110">
        <v>0.74333905515338028</v>
      </c>
    </row>
    <row r="19" spans="2:6" s="103" customFormat="1" ht="12.75" x14ac:dyDescent="0.2">
      <c r="B19" s="108" t="s">
        <v>512</v>
      </c>
      <c r="C19" s="109">
        <v>16987</v>
      </c>
      <c r="D19" s="109">
        <v>50852</v>
      </c>
      <c r="E19" s="109">
        <v>67839</v>
      </c>
      <c r="F19" s="110">
        <v>0.51264575585616701</v>
      </c>
    </row>
    <row r="20" spans="2:6" s="103" customFormat="1" ht="12.75" x14ac:dyDescent="0.2">
      <c r="B20" s="108" t="s">
        <v>513</v>
      </c>
      <c r="C20" s="109">
        <v>17195</v>
      </c>
      <c r="D20" s="109">
        <v>50782</v>
      </c>
      <c r="E20" s="109">
        <v>67977</v>
      </c>
      <c r="F20" s="110">
        <v>0.20342280988812078</v>
      </c>
    </row>
    <row r="21" spans="2:6" s="103" customFormat="1" ht="12.75" x14ac:dyDescent="0.2">
      <c r="B21" s="108" t="s">
        <v>514</v>
      </c>
      <c r="C21" s="109">
        <v>17318</v>
      </c>
      <c r="D21" s="109">
        <v>51251</v>
      </c>
      <c r="E21" s="109">
        <v>68569</v>
      </c>
      <c r="F21" s="110">
        <v>0.87088279859364182</v>
      </c>
    </row>
    <row r="22" spans="2:6" s="103" customFormat="1" ht="12.75" x14ac:dyDescent="0.2">
      <c r="B22" s="108" t="s">
        <v>515</v>
      </c>
      <c r="C22" s="109">
        <v>16454</v>
      </c>
      <c r="D22" s="109">
        <v>51229</v>
      </c>
      <c r="E22" s="109">
        <v>67683</v>
      </c>
      <c r="F22" s="110">
        <v>-1.2921290962388254</v>
      </c>
    </row>
    <row r="23" spans="2:6" s="103" customFormat="1" ht="12.75" x14ac:dyDescent="0.2">
      <c r="B23" s="108" t="s">
        <v>516</v>
      </c>
      <c r="C23" s="109">
        <v>16604</v>
      </c>
      <c r="D23" s="109">
        <v>50484</v>
      </c>
      <c r="E23" s="109">
        <v>67088</v>
      </c>
      <c r="F23" s="110">
        <v>-0.8790981487227234</v>
      </c>
    </row>
    <row r="24" spans="2:6" s="103" customFormat="1" ht="12.75" x14ac:dyDescent="0.2">
      <c r="B24" s="108" t="s">
        <v>517</v>
      </c>
      <c r="C24" s="109">
        <v>16795</v>
      </c>
      <c r="D24" s="109">
        <v>50515</v>
      </c>
      <c r="E24" s="109">
        <v>67310</v>
      </c>
      <c r="F24" s="110">
        <v>0.33090865728595542</v>
      </c>
    </row>
    <row r="25" spans="2:6" s="103" customFormat="1" ht="12.75" x14ac:dyDescent="0.2">
      <c r="B25" s="108" t="s">
        <v>518</v>
      </c>
      <c r="C25" s="109">
        <v>17057</v>
      </c>
      <c r="D25" s="109">
        <v>49993</v>
      </c>
      <c r="E25" s="109">
        <v>67050</v>
      </c>
      <c r="F25" s="110">
        <v>-0.38627247065814441</v>
      </c>
    </row>
    <row r="26" spans="2:6" s="103" customFormat="1" ht="12.75" x14ac:dyDescent="0.2">
      <c r="B26" s="108" t="s">
        <v>519</v>
      </c>
      <c r="C26" s="109">
        <v>17192</v>
      </c>
      <c r="D26" s="109">
        <v>50546</v>
      </c>
      <c r="E26" s="109">
        <v>67738</v>
      </c>
      <c r="F26" s="110">
        <v>1.0260999254287917</v>
      </c>
    </row>
    <row r="27" spans="2:6" s="103" customFormat="1" ht="12.75" x14ac:dyDescent="0.2">
      <c r="B27" s="108" t="s">
        <v>520</v>
      </c>
      <c r="C27" s="109">
        <v>16622</v>
      </c>
      <c r="D27" s="109">
        <v>50453</v>
      </c>
      <c r="E27" s="109">
        <v>67075</v>
      </c>
      <c r="F27" s="110">
        <v>-0.97877114765715367</v>
      </c>
    </row>
    <row r="28" spans="2:6" s="103" customFormat="1" ht="12.75" x14ac:dyDescent="0.2">
      <c r="B28" s="108" t="s">
        <v>521</v>
      </c>
      <c r="C28" s="109">
        <v>17363</v>
      </c>
      <c r="D28" s="109">
        <v>50457</v>
      </c>
      <c r="E28" s="109">
        <v>67820</v>
      </c>
      <c r="F28" s="110">
        <v>1.1106969809914213</v>
      </c>
    </row>
    <row r="29" spans="2:6" s="103" customFormat="1" ht="12.75" x14ac:dyDescent="0.2">
      <c r="B29" s="108" t="s">
        <v>522</v>
      </c>
      <c r="C29" s="109">
        <v>17589</v>
      </c>
      <c r="D29" s="109">
        <v>50831</v>
      </c>
      <c r="E29" s="109">
        <v>68420</v>
      </c>
      <c r="F29" s="110">
        <v>0.88469478030079873</v>
      </c>
    </row>
    <row r="30" spans="2:6" s="103" customFormat="1" ht="12.75" x14ac:dyDescent="0.2">
      <c r="B30" s="108" t="s">
        <v>523</v>
      </c>
      <c r="C30" s="109">
        <v>17846</v>
      </c>
      <c r="D30" s="109">
        <v>51013</v>
      </c>
      <c r="E30" s="109">
        <v>68859</v>
      </c>
      <c r="F30" s="110">
        <v>0.64162525577315943</v>
      </c>
    </row>
    <row r="31" spans="2:6" s="103" customFormat="1" ht="12.75" x14ac:dyDescent="0.2">
      <c r="B31" s="108" t="s">
        <v>524</v>
      </c>
      <c r="C31" s="109">
        <v>17495</v>
      </c>
      <c r="D31" s="109">
        <v>51148</v>
      </c>
      <c r="E31" s="109">
        <v>68643</v>
      </c>
      <c r="F31" s="110">
        <v>-0.31368448568814822</v>
      </c>
    </row>
    <row r="32" spans="2:6" s="103" customFormat="1" ht="12.75" x14ac:dyDescent="0.2">
      <c r="B32" s="108" t="s">
        <v>525</v>
      </c>
      <c r="C32" s="109">
        <v>17677</v>
      </c>
      <c r="D32" s="109">
        <v>50971</v>
      </c>
      <c r="E32" s="109">
        <v>68648</v>
      </c>
      <c r="F32" s="110">
        <v>7.2840639249394101E-3</v>
      </c>
    </row>
    <row r="33" spans="2:7" s="103" customFormat="1" ht="12.75" x14ac:dyDescent="0.2">
      <c r="B33" s="111" t="s">
        <v>526</v>
      </c>
      <c r="C33" s="112">
        <v>17773</v>
      </c>
      <c r="D33" s="112">
        <v>50522</v>
      </c>
      <c r="E33" s="113">
        <v>68295</v>
      </c>
      <c r="F33" s="114">
        <v>-0.51421745717282752</v>
      </c>
    </row>
    <row r="34" spans="2:7" s="118" customFormat="1" ht="12.75" x14ac:dyDescent="0.2">
      <c r="B34" s="115"/>
      <c r="C34" s="116"/>
      <c r="D34" s="116"/>
      <c r="E34" s="116"/>
      <c r="F34" s="117"/>
    </row>
    <row r="35" spans="2:7" s="118" customFormat="1" ht="12.75" x14ac:dyDescent="0.2">
      <c r="B35" s="115"/>
      <c r="C35" s="116"/>
      <c r="D35" s="116"/>
      <c r="E35" s="116"/>
      <c r="F35" s="117"/>
    </row>
    <row r="36" spans="2:7" s="103" customFormat="1" ht="12.75" x14ac:dyDescent="0.2">
      <c r="B36" s="119"/>
      <c r="C36" s="120"/>
      <c r="D36" s="121"/>
      <c r="E36" s="120"/>
      <c r="F36" s="120"/>
    </row>
    <row r="37" spans="2:7" s="103" customFormat="1" ht="12.75" x14ac:dyDescent="0.2">
      <c r="B37" s="119"/>
      <c r="C37" s="120"/>
      <c r="D37" s="121"/>
      <c r="E37" s="120"/>
      <c r="F37" s="120"/>
    </row>
    <row r="38" spans="2:7" x14ac:dyDescent="0.25">
      <c r="D38" s="122"/>
      <c r="F38" s="122"/>
      <c r="G38" s="120"/>
    </row>
    <row r="39" spans="2:7" x14ac:dyDescent="0.25">
      <c r="D39" s="122"/>
      <c r="F39" s="122"/>
      <c r="G39" s="120"/>
    </row>
    <row r="40" spans="2:7" x14ac:dyDescent="0.25">
      <c r="C40" s="123"/>
      <c r="D40" s="123"/>
      <c r="E40" s="123"/>
      <c r="F40" s="122"/>
      <c r="G40" s="120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zoomScaleNormal="100" workbookViewId="0"/>
  </sheetViews>
  <sheetFormatPr baseColWidth="10" defaultRowHeight="12.75" x14ac:dyDescent="0.2"/>
  <cols>
    <col min="1" max="1" width="11.7109375" customWidth="1"/>
    <col min="2" max="6" width="16.7109375" customWidth="1"/>
    <col min="9" max="9" width="13.140625" customWidth="1"/>
  </cols>
  <sheetData>
    <row r="1" spans="1:8" ht="18.75" x14ac:dyDescent="0.2">
      <c r="A1" s="99"/>
      <c r="B1" s="61" t="s">
        <v>145</v>
      </c>
    </row>
    <row r="2" spans="1:8" ht="18.75" x14ac:dyDescent="0.2">
      <c r="A2" s="99"/>
      <c r="B2" s="61" t="s">
        <v>146</v>
      </c>
    </row>
    <row r="3" spans="1:8" ht="15" x14ac:dyDescent="0.2">
      <c r="A3" s="99"/>
      <c r="B3" s="99"/>
    </row>
    <row r="4" spans="1:8" ht="15" x14ac:dyDescent="0.2">
      <c r="A4" s="64" t="s">
        <v>129</v>
      </c>
      <c r="B4" s="65" t="s">
        <v>130</v>
      </c>
      <c r="C4" s="124"/>
      <c r="D4" s="124"/>
      <c r="E4" s="124"/>
      <c r="F4" s="124"/>
      <c r="G4" s="124"/>
      <c r="H4" s="124"/>
    </row>
    <row r="5" spans="1:8" ht="15" x14ac:dyDescent="0.2">
      <c r="A5" s="68" t="s">
        <v>131</v>
      </c>
      <c r="B5" s="69" t="str">
        <f>couverture!D15</f>
        <v xml:space="preserve">1er juillet 2014 </v>
      </c>
      <c r="C5" s="125"/>
      <c r="D5" s="125"/>
      <c r="E5" s="125"/>
      <c r="F5" s="125"/>
      <c r="G5" s="125"/>
      <c r="H5" s="125"/>
    </row>
    <row r="6" spans="1:8" ht="15" x14ac:dyDescent="0.2">
      <c r="A6" s="68" t="s">
        <v>132</v>
      </c>
      <c r="B6" s="69" t="s">
        <v>133</v>
      </c>
      <c r="C6" s="125"/>
      <c r="D6" s="125"/>
      <c r="E6" s="125"/>
      <c r="F6" s="125"/>
      <c r="G6" s="125"/>
      <c r="H6" s="125"/>
    </row>
  </sheetData>
  <phoneticPr fontId="0" type="noConversion"/>
  <pageMargins left="0.52" right="0.56999999999999995" top="0.48" bottom="0.81" header="0.35" footer="0.33"/>
  <pageSetup paperSize="9" scale="97" orientation="landscape" r:id="rId1"/>
  <headerFooter alignWithMargins="0">
    <oddFooter>&amp;LStatistiques mensuelles
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/>
  <dimension ref="A1:I6"/>
  <sheetViews>
    <sheetView zoomScaleNormal="100" workbookViewId="0"/>
  </sheetViews>
  <sheetFormatPr baseColWidth="10" defaultRowHeight="12.75" x14ac:dyDescent="0.2"/>
  <cols>
    <col min="2" max="2" width="8.85546875" customWidth="1"/>
  </cols>
  <sheetData>
    <row r="1" spans="1:9" ht="18.75" x14ac:dyDescent="0.2">
      <c r="B1" s="99"/>
      <c r="C1" s="61" t="s">
        <v>147</v>
      </c>
    </row>
    <row r="2" spans="1:9" ht="18.75" x14ac:dyDescent="0.2">
      <c r="B2" s="99"/>
      <c r="C2" s="61" t="s">
        <v>288</v>
      </c>
    </row>
    <row r="3" spans="1:9" ht="14.25" customHeight="1" x14ac:dyDescent="0.2">
      <c r="A3" s="126" t="s">
        <v>289</v>
      </c>
      <c r="B3" s="99"/>
    </row>
    <row r="4" spans="1:9" ht="15" x14ac:dyDescent="0.2">
      <c r="B4" s="64" t="s">
        <v>129</v>
      </c>
      <c r="C4" s="65" t="s">
        <v>130</v>
      </c>
      <c r="D4" s="124"/>
      <c r="E4" s="124"/>
      <c r="F4" s="124"/>
      <c r="G4" s="124"/>
      <c r="H4" s="124"/>
      <c r="I4" s="124"/>
    </row>
    <row r="5" spans="1:9" ht="15" x14ac:dyDescent="0.2">
      <c r="B5" s="68" t="s">
        <v>131</v>
      </c>
      <c r="C5" s="69" t="str">
        <f>couverture!D15</f>
        <v xml:space="preserve">1er juillet 2014 </v>
      </c>
      <c r="D5" s="125"/>
      <c r="E5" s="125"/>
      <c r="F5" s="125"/>
      <c r="G5" s="125"/>
      <c r="H5" s="125"/>
      <c r="I5" s="125"/>
    </row>
    <row r="6" spans="1:9" ht="15" x14ac:dyDescent="0.2">
      <c r="B6" s="68" t="s">
        <v>132</v>
      </c>
      <c r="C6" s="69" t="s">
        <v>133</v>
      </c>
      <c r="D6" s="125"/>
      <c r="E6" s="125"/>
      <c r="F6" s="125"/>
      <c r="G6" s="125"/>
      <c r="H6" s="125"/>
      <c r="I6" s="125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5" orientation="landscape" r:id="rId1"/>
  <headerFooter alignWithMargins="0">
    <oddFooter>&amp;LStatistiques mensuelles
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zoomScale="85" zoomScaleNormal="85" workbookViewId="0"/>
  </sheetViews>
  <sheetFormatPr baseColWidth="10" defaultRowHeight="12.75" x14ac:dyDescent="0.2"/>
  <cols>
    <col min="1" max="1" width="11.7109375" customWidth="1"/>
    <col min="2" max="6" width="16.7109375" customWidth="1"/>
    <col min="7" max="7" width="18.85546875" customWidth="1"/>
  </cols>
  <sheetData>
    <row r="1" spans="1:8" ht="18.75" x14ac:dyDescent="0.2">
      <c r="A1" s="99"/>
      <c r="B1" s="61" t="s">
        <v>148</v>
      </c>
    </row>
    <row r="2" spans="1:8" ht="18.75" x14ac:dyDescent="0.2">
      <c r="A2" s="61" t="s">
        <v>290</v>
      </c>
    </row>
    <row r="3" spans="1:8" ht="15" x14ac:dyDescent="0.2">
      <c r="A3" s="99"/>
      <c r="B3" s="99"/>
    </row>
    <row r="4" spans="1:8" ht="15" x14ac:dyDescent="0.2">
      <c r="A4" s="64" t="s">
        <v>129</v>
      </c>
      <c r="B4" s="65" t="s">
        <v>130</v>
      </c>
      <c r="C4" s="124"/>
      <c r="D4" s="124"/>
      <c r="E4" s="124"/>
      <c r="F4" s="124"/>
      <c r="G4" s="124"/>
      <c r="H4" s="124"/>
    </row>
    <row r="5" spans="1:8" ht="15" x14ac:dyDescent="0.2">
      <c r="A5" s="68" t="s">
        <v>131</v>
      </c>
      <c r="B5" s="69" t="str">
        <f>couverture!D15</f>
        <v xml:space="preserve">1er juillet 2014 </v>
      </c>
      <c r="C5" s="125"/>
      <c r="D5" s="125"/>
      <c r="E5" s="125"/>
      <c r="F5" s="125"/>
      <c r="G5" s="125"/>
      <c r="H5" s="125"/>
    </row>
    <row r="6" spans="1:8" ht="15" x14ac:dyDescent="0.2">
      <c r="A6" s="68" t="s">
        <v>132</v>
      </c>
      <c r="B6" s="69" t="s">
        <v>133</v>
      </c>
      <c r="C6" s="125"/>
      <c r="D6" s="125"/>
      <c r="E6" s="125"/>
      <c r="F6" s="125"/>
      <c r="G6" s="125"/>
      <c r="H6" s="125"/>
    </row>
    <row r="7" spans="1:8" x14ac:dyDescent="0.2">
      <c r="A7" s="127" t="s">
        <v>291</v>
      </c>
      <c r="F7" s="127" t="s">
        <v>292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&amp;LStatistiques mensuelles
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H35"/>
  <sheetViews>
    <sheetView zoomScaleNormal="100" workbookViewId="0">
      <selection activeCell="D34" sqref="D34"/>
    </sheetView>
  </sheetViews>
  <sheetFormatPr baseColWidth="10" defaultRowHeight="15" x14ac:dyDescent="0.25"/>
  <cols>
    <col min="1" max="1" width="12.42578125" style="100" bestFit="1" customWidth="1"/>
    <col min="2" max="2" width="20.7109375" style="100" customWidth="1"/>
    <col min="3" max="3" width="22.140625" style="100" customWidth="1"/>
    <col min="4" max="4" width="21.5703125" style="100" customWidth="1"/>
    <col min="5" max="5" width="19.5703125" style="100" customWidth="1"/>
    <col min="6" max="6" width="19.140625" style="100" customWidth="1"/>
    <col min="7" max="7" width="18.28515625" style="100" customWidth="1"/>
    <col min="8" max="8" width="21.85546875" style="100" customWidth="1"/>
    <col min="9" max="16384" width="11.42578125" style="100"/>
  </cols>
  <sheetData>
    <row r="1" spans="1:8" ht="18.75" x14ac:dyDescent="0.25">
      <c r="A1" s="99"/>
      <c r="B1" s="61" t="s">
        <v>20</v>
      </c>
      <c r="C1" s="61"/>
      <c r="D1" s="61"/>
      <c r="E1" s="61"/>
      <c r="F1" s="61"/>
      <c r="G1" s="61"/>
      <c r="H1" s="99"/>
    </row>
    <row r="2" spans="1:8" ht="18.75" x14ac:dyDescent="0.25">
      <c r="A2" s="99"/>
      <c r="B2" s="61" t="s">
        <v>149</v>
      </c>
      <c r="C2" s="61"/>
      <c r="D2" s="61"/>
      <c r="E2" s="61"/>
      <c r="F2" s="61"/>
      <c r="G2" s="61"/>
      <c r="H2" s="99"/>
    </row>
    <row r="3" spans="1:8" x14ac:dyDescent="0.25">
      <c r="A3" s="99"/>
      <c r="B3" s="99"/>
      <c r="C3" s="99"/>
      <c r="D3" s="99"/>
      <c r="E3" s="99"/>
      <c r="F3" s="99"/>
      <c r="G3" s="99"/>
      <c r="H3" s="99"/>
    </row>
    <row r="4" spans="1:8" s="119" customFormat="1" ht="13.5" x14ac:dyDescent="0.2">
      <c r="A4" s="128" t="s">
        <v>129</v>
      </c>
      <c r="B4" s="129" t="s">
        <v>130</v>
      </c>
      <c r="C4" s="130"/>
      <c r="D4" s="130"/>
      <c r="E4" s="130"/>
      <c r="F4" s="130"/>
      <c r="G4" s="130"/>
      <c r="H4" s="76"/>
    </row>
    <row r="5" spans="1:8" s="119" customFormat="1" ht="13.5" x14ac:dyDescent="0.2">
      <c r="A5" s="131" t="s">
        <v>131</v>
      </c>
      <c r="B5" s="132" t="str">
        <f>couverture!D15</f>
        <v xml:space="preserve">1er juillet 2014 </v>
      </c>
      <c r="C5" s="133"/>
      <c r="D5" s="133"/>
      <c r="E5" s="133"/>
      <c r="F5" s="133"/>
      <c r="G5" s="133"/>
      <c r="H5" s="76"/>
    </row>
    <row r="6" spans="1:8" s="119" customFormat="1" ht="13.5" x14ac:dyDescent="0.2">
      <c r="A6" s="131" t="s">
        <v>132</v>
      </c>
      <c r="B6" s="132" t="s">
        <v>133</v>
      </c>
      <c r="C6" s="133"/>
      <c r="D6" s="133"/>
      <c r="E6" s="133"/>
      <c r="F6" s="133"/>
      <c r="G6" s="133"/>
      <c r="H6" s="76"/>
    </row>
    <row r="7" spans="1:8" ht="3.75" customHeight="1" x14ac:dyDescent="0.25">
      <c r="A7" s="102"/>
      <c r="B7" s="101"/>
      <c r="C7" s="66"/>
      <c r="D7" s="66"/>
      <c r="E7" s="66"/>
      <c r="F7" s="66"/>
      <c r="G7" s="66"/>
      <c r="H7" s="101"/>
    </row>
    <row r="8" spans="1:8" s="103" customFormat="1" ht="38.450000000000003" customHeight="1" x14ac:dyDescent="0.2">
      <c r="B8" s="104" t="s">
        <v>140</v>
      </c>
      <c r="C8" s="78" t="s">
        <v>235</v>
      </c>
      <c r="D8" s="78" t="s">
        <v>239</v>
      </c>
      <c r="E8" s="78" t="s">
        <v>150</v>
      </c>
      <c r="F8" s="78" t="s">
        <v>135</v>
      </c>
      <c r="G8" s="105" t="s">
        <v>144</v>
      </c>
      <c r="H8" s="107"/>
    </row>
    <row r="9" spans="1:8" s="103" customFormat="1" ht="14.25" customHeight="1" x14ac:dyDescent="0.25">
      <c r="B9" s="134" t="s">
        <v>502</v>
      </c>
      <c r="C9" s="135">
        <v>10244</v>
      </c>
      <c r="D9" s="335">
        <v>617</v>
      </c>
      <c r="E9" s="135">
        <v>645</v>
      </c>
      <c r="F9" s="136">
        <f>C9+E9</f>
        <v>10889</v>
      </c>
      <c r="G9" s="138">
        <v>1.2082907333395232</v>
      </c>
      <c r="H9" s="107"/>
    </row>
    <row r="10" spans="1:8" s="103" customFormat="1" ht="14.25" customHeight="1" x14ac:dyDescent="0.25">
      <c r="B10" s="134" t="s">
        <v>503</v>
      </c>
      <c r="C10" s="135">
        <v>10104</v>
      </c>
      <c r="D10" s="335">
        <v>607</v>
      </c>
      <c r="E10" s="135">
        <v>633</v>
      </c>
      <c r="F10" s="136">
        <f t="shared" ref="F10:F33" si="0">C10+E10</f>
        <v>10737</v>
      </c>
      <c r="G10" s="138">
        <v>-1.3959041234273162</v>
      </c>
      <c r="H10" s="107"/>
    </row>
    <row r="11" spans="1:8" s="103" customFormat="1" ht="14.25" customHeight="1" x14ac:dyDescent="0.25">
      <c r="B11" s="134" t="s">
        <v>504</v>
      </c>
      <c r="C11" s="137">
        <v>9390</v>
      </c>
      <c r="D11" s="336">
        <v>618</v>
      </c>
      <c r="E11" s="137">
        <v>558</v>
      </c>
      <c r="F11" s="136">
        <f t="shared" si="0"/>
        <v>9948</v>
      </c>
      <c r="G11" s="138">
        <v>-7.3484213467449049</v>
      </c>
      <c r="H11" s="107"/>
    </row>
    <row r="12" spans="1:8" s="103" customFormat="1" ht="14.25" customHeight="1" x14ac:dyDescent="0.25">
      <c r="B12" s="134" t="s">
        <v>505</v>
      </c>
      <c r="C12" s="137">
        <v>9105</v>
      </c>
      <c r="D12" s="336">
        <v>528</v>
      </c>
      <c r="E12" s="137">
        <v>598</v>
      </c>
      <c r="F12" s="136">
        <f t="shared" si="0"/>
        <v>9703</v>
      </c>
      <c r="G12" s="138">
        <v>-2.4628065942903121</v>
      </c>
      <c r="H12" s="107"/>
    </row>
    <row r="13" spans="1:8" s="103" customFormat="1" ht="14.25" customHeight="1" x14ac:dyDescent="0.25">
      <c r="B13" s="134" t="s">
        <v>506</v>
      </c>
      <c r="C13" s="137">
        <v>9470</v>
      </c>
      <c r="D13" s="336">
        <v>577</v>
      </c>
      <c r="E13" s="137">
        <v>587</v>
      </c>
      <c r="F13" s="136">
        <f t="shared" si="0"/>
        <v>10057</v>
      </c>
      <c r="G13" s="138">
        <v>3.6483561785014995</v>
      </c>
      <c r="H13" s="107"/>
    </row>
    <row r="14" spans="1:8" s="103" customFormat="1" ht="14.25" customHeight="1" x14ac:dyDescent="0.25">
      <c r="B14" s="134" t="s">
        <v>507</v>
      </c>
      <c r="C14" s="137">
        <v>9840</v>
      </c>
      <c r="D14" s="336">
        <v>589</v>
      </c>
      <c r="E14" s="137">
        <v>568</v>
      </c>
      <c r="F14" s="136">
        <f t="shared" si="0"/>
        <v>10408</v>
      </c>
      <c r="G14" s="138">
        <v>3.4901063935567356</v>
      </c>
      <c r="H14" s="107"/>
    </row>
    <row r="15" spans="1:8" s="103" customFormat="1" ht="14.25" customHeight="1" x14ac:dyDescent="0.25">
      <c r="B15" s="134" t="s">
        <v>508</v>
      </c>
      <c r="C15" s="137">
        <v>9653</v>
      </c>
      <c r="D15" s="336">
        <v>624</v>
      </c>
      <c r="E15" s="137">
        <v>573</v>
      </c>
      <c r="F15" s="136">
        <f t="shared" si="0"/>
        <v>10226</v>
      </c>
      <c r="G15" s="138">
        <v>-1.7486548808608782</v>
      </c>
      <c r="H15" s="107"/>
    </row>
    <row r="16" spans="1:8" s="103" customFormat="1" ht="14.25" customHeight="1" x14ac:dyDescent="0.25">
      <c r="B16" s="134" t="s">
        <v>509</v>
      </c>
      <c r="C16" s="137">
        <v>10197</v>
      </c>
      <c r="D16" s="336">
        <v>625</v>
      </c>
      <c r="E16" s="137">
        <v>597</v>
      </c>
      <c r="F16" s="136">
        <f t="shared" si="0"/>
        <v>10794</v>
      </c>
      <c r="G16" s="138">
        <v>5.554469000586737</v>
      </c>
      <c r="H16" s="107"/>
    </row>
    <row r="17" spans="2:8" s="103" customFormat="1" ht="14.25" customHeight="1" x14ac:dyDescent="0.25">
      <c r="B17" s="134" t="s">
        <v>510</v>
      </c>
      <c r="C17" s="137">
        <v>10615</v>
      </c>
      <c r="D17" s="336">
        <v>660</v>
      </c>
      <c r="E17" s="137">
        <v>598</v>
      </c>
      <c r="F17" s="136">
        <f t="shared" si="0"/>
        <v>11213</v>
      </c>
      <c r="G17" s="138">
        <v>3.8817861775060303</v>
      </c>
      <c r="H17" s="107"/>
    </row>
    <row r="18" spans="2:8" s="103" customFormat="1" ht="14.25" customHeight="1" x14ac:dyDescent="0.25">
      <c r="B18" s="134" t="s">
        <v>511</v>
      </c>
      <c r="C18" s="137">
        <v>10919</v>
      </c>
      <c r="D18" s="336">
        <v>640</v>
      </c>
      <c r="E18" s="137">
        <v>585</v>
      </c>
      <c r="F18" s="136">
        <f t="shared" si="0"/>
        <v>11504</v>
      </c>
      <c r="G18" s="138">
        <v>2.5952019976812624</v>
      </c>
      <c r="H18" s="107"/>
    </row>
    <row r="19" spans="2:8" s="103" customFormat="1" ht="14.25" customHeight="1" x14ac:dyDescent="0.25">
      <c r="B19" s="134" t="s">
        <v>512</v>
      </c>
      <c r="C19" s="137">
        <v>11438</v>
      </c>
      <c r="D19" s="336">
        <v>678</v>
      </c>
      <c r="E19" s="137">
        <v>635</v>
      </c>
      <c r="F19" s="136">
        <f t="shared" si="0"/>
        <v>12073</v>
      </c>
      <c r="G19" s="138">
        <v>4.9461057023644006</v>
      </c>
      <c r="H19" s="107"/>
    </row>
    <row r="20" spans="2:8" s="103" customFormat="1" ht="14.25" customHeight="1" x14ac:dyDescent="0.25">
      <c r="B20" s="134" t="s">
        <v>513</v>
      </c>
      <c r="C20" s="137">
        <v>11559</v>
      </c>
      <c r="D20" s="336">
        <v>673</v>
      </c>
      <c r="E20" s="137">
        <v>622</v>
      </c>
      <c r="F20" s="136">
        <f t="shared" si="0"/>
        <v>12181</v>
      </c>
      <c r="G20" s="138">
        <v>0.89455810486209764</v>
      </c>
      <c r="H20" s="107"/>
    </row>
    <row r="21" spans="2:8" s="103" customFormat="1" ht="14.25" customHeight="1" x14ac:dyDescent="0.25">
      <c r="B21" s="134" t="s">
        <v>514</v>
      </c>
      <c r="C21" s="137">
        <v>11475</v>
      </c>
      <c r="D21" s="336">
        <v>629</v>
      </c>
      <c r="E21" s="137">
        <v>656</v>
      </c>
      <c r="F21" s="136">
        <f t="shared" si="0"/>
        <v>12131</v>
      </c>
      <c r="G21" s="138">
        <v>-0.41047533043263584</v>
      </c>
      <c r="H21" s="107"/>
    </row>
    <row r="22" spans="2:8" s="103" customFormat="1" ht="14.25" customHeight="1" x14ac:dyDescent="0.25">
      <c r="B22" s="134" t="s">
        <v>515</v>
      </c>
      <c r="C22" s="137">
        <v>11465</v>
      </c>
      <c r="D22" s="336">
        <v>683</v>
      </c>
      <c r="E22" s="137">
        <v>619</v>
      </c>
      <c r="F22" s="136">
        <f t="shared" si="0"/>
        <v>12084</v>
      </c>
      <c r="G22" s="138">
        <v>-0.38743714450580891</v>
      </c>
      <c r="H22" s="107"/>
    </row>
    <row r="23" spans="2:8" s="103" customFormat="1" ht="14.25" customHeight="1" x14ac:dyDescent="0.25">
      <c r="B23" s="134" t="s">
        <v>516</v>
      </c>
      <c r="C23" s="137">
        <v>10646</v>
      </c>
      <c r="D23" s="336">
        <v>633</v>
      </c>
      <c r="E23" s="137">
        <v>580</v>
      </c>
      <c r="F23" s="136">
        <f t="shared" si="0"/>
        <v>11226</v>
      </c>
      <c r="G23" s="138">
        <v>-7.1002979145978191</v>
      </c>
      <c r="H23" s="107"/>
    </row>
    <row r="24" spans="2:8" s="103" customFormat="1" ht="14.25" customHeight="1" x14ac:dyDescent="0.25">
      <c r="B24" s="134" t="s">
        <v>517</v>
      </c>
      <c r="C24" s="137">
        <v>10451</v>
      </c>
      <c r="D24" s="336">
        <v>577</v>
      </c>
      <c r="E24" s="137">
        <v>602</v>
      </c>
      <c r="F24" s="136">
        <f t="shared" si="0"/>
        <v>11053</v>
      </c>
      <c r="G24" s="138">
        <v>-1.5410653839301625</v>
      </c>
      <c r="H24" s="107"/>
    </row>
    <row r="25" spans="2:8" s="103" customFormat="1" ht="14.25" customHeight="1" x14ac:dyDescent="0.25">
      <c r="B25" s="134" t="s">
        <v>518</v>
      </c>
      <c r="C25" s="137">
        <v>10560</v>
      </c>
      <c r="D25" s="336">
        <v>573</v>
      </c>
      <c r="E25" s="137">
        <v>642</v>
      </c>
      <c r="F25" s="136">
        <f t="shared" si="0"/>
        <v>11202</v>
      </c>
      <c r="G25" s="138">
        <v>1.3480503030851354</v>
      </c>
      <c r="H25" s="107"/>
    </row>
    <row r="26" spans="2:8" s="103" customFormat="1" ht="14.25" customHeight="1" x14ac:dyDescent="0.25">
      <c r="B26" s="134" t="s">
        <v>519</v>
      </c>
      <c r="C26" s="137">
        <v>10482</v>
      </c>
      <c r="D26" s="336">
        <v>544</v>
      </c>
      <c r="E26" s="137">
        <v>664</v>
      </c>
      <c r="F26" s="136">
        <f t="shared" si="0"/>
        <v>11146</v>
      </c>
      <c r="G26" s="138">
        <v>-0.49991073022674914</v>
      </c>
      <c r="H26" s="107"/>
    </row>
    <row r="27" spans="2:8" s="103" customFormat="1" ht="14.25" customHeight="1" x14ac:dyDescent="0.25">
      <c r="B27" s="134" t="s">
        <v>520</v>
      </c>
      <c r="C27" s="137">
        <v>10161</v>
      </c>
      <c r="D27" s="336">
        <v>570</v>
      </c>
      <c r="E27" s="137">
        <v>647</v>
      </c>
      <c r="F27" s="136">
        <f t="shared" si="0"/>
        <v>10808</v>
      </c>
      <c r="G27" s="138">
        <v>-3.0324780190202794</v>
      </c>
      <c r="H27" s="107"/>
    </row>
    <row r="28" spans="2:8" s="103" customFormat="1" ht="14.25" customHeight="1" x14ac:dyDescent="0.25">
      <c r="B28" s="134" t="s">
        <v>521</v>
      </c>
      <c r="C28" s="137">
        <v>10296</v>
      </c>
      <c r="D28" s="336">
        <v>536</v>
      </c>
      <c r="E28" s="137">
        <v>621</v>
      </c>
      <c r="F28" s="136">
        <f t="shared" si="0"/>
        <v>10917</v>
      </c>
      <c r="G28" s="138">
        <v>1.0085122131754165</v>
      </c>
      <c r="H28" s="107"/>
    </row>
    <row r="29" spans="2:8" s="103" customFormat="1" ht="14.25" customHeight="1" x14ac:dyDescent="0.25">
      <c r="B29" s="134" t="s">
        <v>522</v>
      </c>
      <c r="C29" s="137">
        <v>10452</v>
      </c>
      <c r="D29" s="336">
        <v>509</v>
      </c>
      <c r="E29" s="137">
        <v>649</v>
      </c>
      <c r="F29" s="136">
        <f>C29+E29</f>
        <v>11101</v>
      </c>
      <c r="G29" s="138">
        <v>1.6854447192452104</v>
      </c>
      <c r="H29" s="107"/>
    </row>
    <row r="30" spans="2:8" s="103" customFormat="1" ht="14.25" customHeight="1" x14ac:dyDescent="0.25">
      <c r="B30" s="134" t="s">
        <v>523</v>
      </c>
      <c r="C30" s="137">
        <v>11234</v>
      </c>
      <c r="D30" s="336">
        <v>461</v>
      </c>
      <c r="E30" s="137">
        <v>647</v>
      </c>
      <c r="F30" s="136">
        <f t="shared" si="0"/>
        <v>11881</v>
      </c>
      <c r="G30" s="138">
        <v>7.0263940185568918</v>
      </c>
      <c r="H30" s="107"/>
    </row>
    <row r="31" spans="2:8" s="103" customFormat="1" ht="14.25" customHeight="1" x14ac:dyDescent="0.25">
      <c r="B31" s="134" t="s">
        <v>524</v>
      </c>
      <c r="C31" s="137">
        <v>11755</v>
      </c>
      <c r="D31" s="336">
        <v>514</v>
      </c>
      <c r="E31" s="137">
        <v>653</v>
      </c>
      <c r="F31" s="136">
        <f t="shared" si="0"/>
        <v>12408</v>
      </c>
      <c r="G31" s="138">
        <v>4.4356535645147632</v>
      </c>
      <c r="H31" s="107"/>
    </row>
    <row r="32" spans="2:8" s="103" customFormat="1" ht="14.25" customHeight="1" x14ac:dyDescent="0.25">
      <c r="B32" s="134" t="s">
        <v>525</v>
      </c>
      <c r="C32" s="137">
        <v>11586</v>
      </c>
      <c r="D32" s="336">
        <v>538</v>
      </c>
      <c r="E32" s="137">
        <v>640</v>
      </c>
      <c r="F32" s="136">
        <f t="shared" si="0"/>
        <v>12226</v>
      </c>
      <c r="G32" s="138">
        <v>-1.4667956157317863</v>
      </c>
      <c r="H32" s="107"/>
    </row>
    <row r="33" spans="2:8" ht="14.25" customHeight="1" x14ac:dyDescent="0.25">
      <c r="B33" s="139" t="s">
        <v>526</v>
      </c>
      <c r="C33" s="140">
        <v>11763</v>
      </c>
      <c r="D33" s="337">
        <v>553</v>
      </c>
      <c r="E33" s="140">
        <v>662</v>
      </c>
      <c r="F33" s="334">
        <f t="shared" si="0"/>
        <v>12425</v>
      </c>
      <c r="G33" s="141">
        <v>1.6276787174873242</v>
      </c>
      <c r="H33" s="142"/>
    </row>
    <row r="34" spans="2:8" x14ac:dyDescent="0.25">
      <c r="B34" s="333" t="s">
        <v>236</v>
      </c>
      <c r="C34" s="122"/>
      <c r="D34" s="122"/>
      <c r="E34" s="122"/>
      <c r="F34" s="143"/>
      <c r="G34" s="144"/>
      <c r="H34" s="121"/>
    </row>
    <row r="35" spans="2:8" x14ac:dyDescent="0.25">
      <c r="B35" s="145"/>
      <c r="C35" s="123"/>
      <c r="D35" s="123"/>
      <c r="E35" s="123"/>
      <c r="F35" s="123"/>
      <c r="G35" s="122"/>
      <c r="H35" s="120"/>
    </row>
  </sheetData>
  <phoneticPr fontId="0" type="noConversion"/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&amp;LStatistiques mensuelles
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zoomScale="115" zoomScaleNormal="115" workbookViewId="0"/>
  </sheetViews>
  <sheetFormatPr baseColWidth="10" defaultRowHeight="12.75" x14ac:dyDescent="0.2"/>
  <cols>
    <col min="1" max="1" width="11.7109375" customWidth="1"/>
    <col min="2" max="6" width="16.7109375" customWidth="1"/>
  </cols>
  <sheetData>
    <row r="1" spans="1:8" ht="18.75" x14ac:dyDescent="0.2">
      <c r="A1" s="99"/>
      <c r="B1" s="61" t="s">
        <v>23</v>
      </c>
    </row>
    <row r="2" spans="1:8" ht="18.75" x14ac:dyDescent="0.2">
      <c r="A2" s="99"/>
      <c r="B2" s="61" t="s">
        <v>286</v>
      </c>
    </row>
    <row r="3" spans="1:8" ht="15" x14ac:dyDescent="0.2">
      <c r="A3" s="99"/>
      <c r="B3" s="99"/>
    </row>
    <row r="4" spans="1:8" ht="15" x14ac:dyDescent="0.2">
      <c r="A4" s="64" t="s">
        <v>129</v>
      </c>
      <c r="B4" s="65" t="s">
        <v>130</v>
      </c>
      <c r="C4" s="124"/>
      <c r="D4" s="124"/>
      <c r="E4" s="124"/>
      <c r="F4" s="124"/>
      <c r="G4" s="124"/>
      <c r="H4" s="124"/>
    </row>
    <row r="5" spans="1:8" ht="15" x14ac:dyDescent="0.2">
      <c r="A5" s="68" t="s">
        <v>131</v>
      </c>
      <c r="B5" s="69" t="str">
        <f>couverture!D15</f>
        <v xml:space="preserve">1er juillet 2014 </v>
      </c>
      <c r="C5" s="125"/>
      <c r="D5" s="125"/>
      <c r="E5" s="125"/>
      <c r="F5" s="125"/>
      <c r="G5" s="125"/>
      <c r="H5" s="125"/>
    </row>
    <row r="6" spans="1:8" ht="15" x14ac:dyDescent="0.2">
      <c r="A6" s="68" t="s">
        <v>132</v>
      </c>
      <c r="B6" s="69" t="s">
        <v>133</v>
      </c>
      <c r="C6" s="125"/>
      <c r="D6" s="125"/>
      <c r="E6" s="125"/>
      <c r="F6" s="125"/>
      <c r="G6" s="125"/>
      <c r="H6" s="125"/>
    </row>
    <row r="7" spans="1:8" ht="12.75" customHeight="1" x14ac:dyDescent="0.2">
      <c r="A7" s="146" t="s">
        <v>287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&amp;LStatistiques mensuelles
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zoomScaleNormal="100" workbookViewId="0"/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61" t="s">
        <v>26</v>
      </c>
      <c r="C1" s="62"/>
      <c r="D1" s="62"/>
      <c r="E1" s="62"/>
    </row>
    <row r="2" spans="1:7" ht="18.75" x14ac:dyDescent="0.2">
      <c r="B2" s="61" t="s">
        <v>27</v>
      </c>
      <c r="C2" s="62"/>
      <c r="D2" s="62"/>
      <c r="E2" s="62"/>
    </row>
    <row r="3" spans="1:7" x14ac:dyDescent="0.2">
      <c r="B3" s="62"/>
      <c r="C3" s="62"/>
      <c r="D3" s="62"/>
      <c r="E3" s="62"/>
    </row>
    <row r="5" spans="1:7" ht="15" x14ac:dyDescent="0.2">
      <c r="A5" s="64" t="s">
        <v>129</v>
      </c>
      <c r="B5" s="65" t="s">
        <v>130</v>
      </c>
      <c r="C5" s="66"/>
      <c r="D5" s="66"/>
      <c r="E5" s="66"/>
      <c r="F5" s="67"/>
    </row>
    <row r="6" spans="1:7" ht="15" x14ac:dyDescent="0.2">
      <c r="A6" s="68" t="s">
        <v>131</v>
      </c>
      <c r="B6" s="69" t="str">
        <f>couverture!D15</f>
        <v xml:space="preserve">1er juillet 2014 </v>
      </c>
      <c r="C6" s="70"/>
      <c r="D6" s="70"/>
      <c r="E6" s="70"/>
      <c r="F6" s="71"/>
    </row>
    <row r="7" spans="1:7" ht="15" x14ac:dyDescent="0.2">
      <c r="A7" s="68" t="s">
        <v>132</v>
      </c>
      <c r="B7" s="69" t="s">
        <v>133</v>
      </c>
      <c r="C7" s="70"/>
      <c r="D7" s="70"/>
      <c r="E7" s="70"/>
      <c r="F7" s="71"/>
    </row>
    <row r="8" spans="1:7" ht="15" x14ac:dyDescent="0.2">
      <c r="A8" s="68" t="s">
        <v>151</v>
      </c>
      <c r="B8" s="69" t="str">
        <f>B6</f>
        <v xml:space="preserve">1er juillet 2014 </v>
      </c>
      <c r="C8" s="70"/>
      <c r="D8" s="70"/>
      <c r="E8" s="70"/>
      <c r="F8" s="71"/>
    </row>
    <row r="9" spans="1:7" ht="13.5" x14ac:dyDescent="0.2">
      <c r="A9" s="75"/>
      <c r="B9" s="147" t="s">
        <v>152</v>
      </c>
      <c r="C9" s="76"/>
      <c r="D9" s="76"/>
      <c r="E9" s="76"/>
    </row>
    <row r="11" spans="1:7" s="77" customFormat="1" ht="25.5" x14ac:dyDescent="0.2">
      <c r="C11" s="78" t="s">
        <v>153</v>
      </c>
      <c r="D11" s="78" t="s">
        <v>154</v>
      </c>
      <c r="E11" s="78" t="s">
        <v>155</v>
      </c>
      <c r="F11" s="78" t="s">
        <v>156</v>
      </c>
    </row>
    <row r="12" spans="1:7" ht="15" x14ac:dyDescent="0.2">
      <c r="B12" s="148" t="s">
        <v>136</v>
      </c>
      <c r="C12" s="82">
        <v>54980</v>
      </c>
      <c r="D12" s="82">
        <v>53942</v>
      </c>
      <c r="E12" s="82">
        <v>63684</v>
      </c>
      <c r="F12" s="149">
        <f>E12/D12*100</f>
        <v>118.06013866745764</v>
      </c>
      <c r="G12" s="99"/>
    </row>
    <row r="13" spans="1:7" ht="15" x14ac:dyDescent="0.2">
      <c r="B13" s="150"/>
      <c r="C13" s="151"/>
      <c r="D13" s="151"/>
      <c r="E13" s="151"/>
      <c r="F13" s="151"/>
      <c r="G13" s="99"/>
    </row>
    <row r="14" spans="1:7" ht="15" x14ac:dyDescent="0.2">
      <c r="B14" s="150" t="s">
        <v>137</v>
      </c>
      <c r="C14" s="151">
        <v>3822</v>
      </c>
      <c r="D14" s="151">
        <v>3770</v>
      </c>
      <c r="E14" s="151">
        <v>4611</v>
      </c>
      <c r="F14" s="152">
        <f>E14/D14*100</f>
        <v>122.30769230769232</v>
      </c>
      <c r="G14" s="99"/>
    </row>
    <row r="15" spans="1:7" ht="13.5" x14ac:dyDescent="0.2">
      <c r="B15" s="153"/>
      <c r="C15" s="86"/>
      <c r="D15" s="86"/>
      <c r="E15" s="86"/>
      <c r="F15" s="154"/>
    </row>
    <row r="16" spans="1:7" ht="15" x14ac:dyDescent="0.2">
      <c r="B16" s="155" t="s">
        <v>138</v>
      </c>
      <c r="C16" s="93">
        <f>SUM(C12:C14)</f>
        <v>58802</v>
      </c>
      <c r="D16" s="93">
        <f>SUM(D12:D14)</f>
        <v>57712</v>
      </c>
      <c r="E16" s="93">
        <f>SUM(E12:E14)</f>
        <v>68295</v>
      </c>
      <c r="F16" s="156">
        <f>E16/D16*100</f>
        <v>118.33760742999723</v>
      </c>
    </row>
    <row r="17" spans="2:6" ht="13.5" x14ac:dyDescent="0.2">
      <c r="B17" s="96"/>
      <c r="C17" s="97"/>
      <c r="D17" s="97"/>
      <c r="E17" s="97"/>
      <c r="F17" s="157"/>
    </row>
    <row r="19" spans="2:6" ht="13.5" x14ac:dyDescent="0.2">
      <c r="B19" s="98" t="s">
        <v>228</v>
      </c>
      <c r="C19" s="98"/>
      <c r="D19" s="98"/>
      <c r="E19" s="98"/>
      <c r="F19" s="98"/>
    </row>
    <row r="20" spans="2:6" ht="13.5" x14ac:dyDescent="0.2">
      <c r="B20" s="98" t="s">
        <v>229</v>
      </c>
      <c r="C20" s="98"/>
      <c r="D20" s="98"/>
      <c r="E20" s="98"/>
      <c r="F20" s="98"/>
    </row>
    <row r="21" spans="2:6" ht="13.5" x14ac:dyDescent="0.2">
      <c r="B21" s="98" t="s">
        <v>230</v>
      </c>
      <c r="C21" s="98"/>
      <c r="D21" s="98"/>
      <c r="E21" s="98"/>
      <c r="F21" s="98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zoomScaleNormal="100" workbookViewId="0"/>
  </sheetViews>
  <sheetFormatPr baseColWidth="10" defaultRowHeight="15" x14ac:dyDescent="0.2"/>
  <cols>
    <col min="1" max="1" width="14.5703125" style="99" bestFit="1" customWidth="1"/>
    <col min="2" max="2" width="36.7109375" style="99" customWidth="1"/>
    <col min="3" max="5" width="20.7109375" style="99" customWidth="1"/>
    <col min="6" max="16384" width="11.42578125" style="99"/>
  </cols>
  <sheetData>
    <row r="1" spans="1:5" ht="18.75" x14ac:dyDescent="0.2">
      <c r="B1" s="61" t="s">
        <v>29</v>
      </c>
      <c r="C1" s="61"/>
      <c r="D1" s="61"/>
      <c r="E1" s="61"/>
    </row>
    <row r="2" spans="1:5" ht="18.75" x14ac:dyDescent="0.2">
      <c r="B2" s="61" t="s">
        <v>157</v>
      </c>
      <c r="C2" s="61"/>
      <c r="D2" s="61"/>
      <c r="E2" s="61"/>
    </row>
    <row r="3" spans="1:5" ht="19.5" x14ac:dyDescent="0.2">
      <c r="B3" s="63" t="s">
        <v>128</v>
      </c>
    </row>
    <row r="5" spans="1:5" x14ac:dyDescent="0.2">
      <c r="A5" s="64" t="s">
        <v>129</v>
      </c>
      <c r="B5" s="65" t="s">
        <v>130</v>
      </c>
      <c r="C5" s="66"/>
      <c r="D5" s="66"/>
      <c r="E5" s="67"/>
    </row>
    <row r="6" spans="1:5" x14ac:dyDescent="0.2">
      <c r="A6" s="68" t="s">
        <v>131</v>
      </c>
      <c r="B6" s="69" t="str">
        <f>tab1écrouées!B6</f>
        <v xml:space="preserve">1er juillet 2014 </v>
      </c>
      <c r="C6" s="70"/>
      <c r="D6" s="70"/>
      <c r="E6" s="71"/>
    </row>
    <row r="7" spans="1:5" x14ac:dyDescent="0.2">
      <c r="A7" s="68" t="s">
        <v>132</v>
      </c>
      <c r="B7" s="69" t="s">
        <v>133</v>
      </c>
      <c r="C7" s="70"/>
      <c r="D7" s="70"/>
      <c r="E7" s="71"/>
    </row>
    <row r="8" spans="1:5" x14ac:dyDescent="0.2">
      <c r="A8" s="72"/>
      <c r="B8" s="73"/>
      <c r="C8" s="73"/>
      <c r="D8" s="73"/>
      <c r="E8" s="74"/>
    </row>
    <row r="11" spans="1:5" ht="25.5" x14ac:dyDescent="0.2">
      <c r="B11" s="29"/>
      <c r="C11" s="78" t="s">
        <v>134</v>
      </c>
      <c r="D11" s="78" t="s">
        <v>135</v>
      </c>
      <c r="E11"/>
    </row>
    <row r="12" spans="1:5" x14ac:dyDescent="0.2">
      <c r="B12" s="158" t="s">
        <v>200</v>
      </c>
      <c r="C12" s="82">
        <v>5180</v>
      </c>
      <c r="D12" s="82">
        <v>793</v>
      </c>
      <c r="E12"/>
    </row>
    <row r="13" spans="1:5" x14ac:dyDescent="0.2">
      <c r="B13" s="159" t="s">
        <v>201</v>
      </c>
      <c r="C13" s="151">
        <v>5067</v>
      </c>
      <c r="D13" s="151">
        <v>980</v>
      </c>
      <c r="E13"/>
    </row>
    <row r="14" spans="1:5" x14ac:dyDescent="0.2">
      <c r="B14" s="159" t="s">
        <v>202</v>
      </c>
      <c r="C14" s="151">
        <v>9473</v>
      </c>
      <c r="D14" s="151">
        <v>1789</v>
      </c>
      <c r="E14"/>
    </row>
    <row r="15" spans="1:5" x14ac:dyDescent="0.2">
      <c r="B15" s="159" t="s">
        <v>203</v>
      </c>
      <c r="C15" s="151">
        <v>5884</v>
      </c>
      <c r="D15" s="151">
        <v>1433</v>
      </c>
      <c r="E15"/>
    </row>
    <row r="16" spans="1:5" x14ac:dyDescent="0.2">
      <c r="B16" s="159" t="s">
        <v>204</v>
      </c>
      <c r="C16" s="151">
        <v>7920</v>
      </c>
      <c r="D16" s="151">
        <v>1434</v>
      </c>
      <c r="E16"/>
    </row>
    <row r="17" spans="2:5" x14ac:dyDescent="0.2">
      <c r="B17" s="159" t="s">
        <v>205</v>
      </c>
      <c r="C17" s="151">
        <v>13104</v>
      </c>
      <c r="D17" s="151">
        <v>2112</v>
      </c>
      <c r="E17"/>
    </row>
    <row r="18" spans="2:5" x14ac:dyDescent="0.2">
      <c r="B18" s="159" t="s">
        <v>206</v>
      </c>
      <c r="C18" s="151">
        <v>6090</v>
      </c>
      <c r="D18" s="151">
        <v>1312</v>
      </c>
      <c r="E18"/>
    </row>
    <row r="19" spans="2:5" x14ac:dyDescent="0.2">
      <c r="B19" s="159" t="s">
        <v>207</v>
      </c>
      <c r="C19" s="151">
        <v>5562</v>
      </c>
      <c r="D19" s="151">
        <v>1120</v>
      </c>
      <c r="E19"/>
    </row>
    <row r="20" spans="2:5" x14ac:dyDescent="0.2">
      <c r="B20" s="159" t="s">
        <v>208</v>
      </c>
      <c r="C20" s="151">
        <v>5404</v>
      </c>
      <c r="D20" s="151">
        <v>895</v>
      </c>
      <c r="E20"/>
    </row>
    <row r="21" spans="2:5" x14ac:dyDescent="0.2">
      <c r="B21" s="159"/>
      <c r="C21" s="151"/>
      <c r="D21" s="151"/>
      <c r="E21"/>
    </row>
    <row r="22" spans="2:5" x14ac:dyDescent="0.2">
      <c r="B22" s="160" t="s">
        <v>158</v>
      </c>
      <c r="C22" s="161">
        <v>63684</v>
      </c>
      <c r="D22" s="161">
        <v>11868</v>
      </c>
      <c r="E22"/>
    </row>
    <row r="23" spans="2:5" x14ac:dyDescent="0.2">
      <c r="B23" s="159"/>
      <c r="C23" s="151"/>
      <c r="D23" s="151"/>
      <c r="E23"/>
    </row>
    <row r="24" spans="2:5" x14ac:dyDescent="0.2">
      <c r="B24" s="162" t="s">
        <v>137</v>
      </c>
      <c r="C24" s="151">
        <v>4611</v>
      </c>
      <c r="D24" s="151">
        <v>557</v>
      </c>
      <c r="E24"/>
    </row>
    <row r="25" spans="2:5" x14ac:dyDescent="0.2">
      <c r="B25" s="162"/>
      <c r="C25" s="151"/>
      <c r="D25" s="151"/>
      <c r="E25"/>
    </row>
    <row r="26" spans="2:5" x14ac:dyDescent="0.2">
      <c r="B26" s="159"/>
      <c r="C26" s="163"/>
      <c r="D26" s="163"/>
      <c r="E26"/>
    </row>
    <row r="27" spans="2:5" x14ac:dyDescent="0.2">
      <c r="B27" s="164" t="s">
        <v>138</v>
      </c>
      <c r="C27" s="93">
        <v>68295</v>
      </c>
      <c r="D27" s="93">
        <v>12425</v>
      </c>
      <c r="E27"/>
    </row>
    <row r="28" spans="2:5" x14ac:dyDescent="0.2">
      <c r="E28"/>
    </row>
    <row r="29" spans="2:5" x14ac:dyDescent="0.2">
      <c r="B29" s="165"/>
      <c r="C29" s="165"/>
      <c r="D29" s="165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zoomScaleNormal="100" workbookViewId="0"/>
  </sheetViews>
  <sheetFormatPr baseColWidth="10" defaultRowHeight="15" x14ac:dyDescent="0.25"/>
  <cols>
    <col min="1" max="1" width="14.5703125" style="100" bestFit="1" customWidth="1"/>
    <col min="2" max="2" width="36.7109375" style="100" customWidth="1"/>
    <col min="3" max="4" width="18.7109375" style="100" customWidth="1"/>
    <col min="5" max="5" width="24.28515625" style="100" customWidth="1"/>
    <col min="6" max="6" width="18.7109375" style="100" customWidth="1"/>
    <col min="7" max="16384" width="11.42578125" style="100"/>
  </cols>
  <sheetData>
    <row r="1" spans="1:6" ht="18.75" x14ac:dyDescent="0.25">
      <c r="A1" s="99"/>
      <c r="B1" s="61" t="s">
        <v>32</v>
      </c>
      <c r="C1" s="61"/>
      <c r="D1" s="61"/>
      <c r="E1" s="61"/>
    </row>
    <row r="2" spans="1:6" ht="18.75" x14ac:dyDescent="0.25">
      <c r="A2" s="99"/>
      <c r="B2" s="61" t="s">
        <v>159</v>
      </c>
      <c r="C2" s="61"/>
      <c r="D2" s="61"/>
      <c r="E2" s="61"/>
    </row>
    <row r="3" spans="1:6" x14ac:dyDescent="0.25">
      <c r="A3" s="99"/>
      <c r="B3" s="99"/>
      <c r="C3" s="99"/>
      <c r="D3" s="99"/>
    </row>
    <row r="4" spans="1:6" x14ac:dyDescent="0.25">
      <c r="A4" s="99"/>
      <c r="B4" s="99"/>
      <c r="C4" s="99"/>
      <c r="D4" s="99"/>
    </row>
    <row r="5" spans="1:6" x14ac:dyDescent="0.25">
      <c r="A5" s="64" t="s">
        <v>129</v>
      </c>
      <c r="B5" s="65" t="s">
        <v>130</v>
      </c>
      <c r="C5" s="66"/>
      <c r="D5" s="66"/>
      <c r="E5" s="166"/>
      <c r="F5" s="166"/>
    </row>
    <row r="6" spans="1:6" x14ac:dyDescent="0.25">
      <c r="A6" s="68" t="s">
        <v>131</v>
      </c>
      <c r="B6" s="69" t="str">
        <f>couverture!D15</f>
        <v xml:space="preserve">1er juillet 2014 </v>
      </c>
      <c r="C6" s="70"/>
      <c r="D6" s="70"/>
      <c r="E6" s="167"/>
      <c r="F6" s="167"/>
    </row>
    <row r="7" spans="1:6" x14ac:dyDescent="0.25">
      <c r="A7" s="68" t="s">
        <v>132</v>
      </c>
      <c r="B7" s="69" t="s">
        <v>133</v>
      </c>
      <c r="C7" s="70"/>
      <c r="D7" s="70"/>
      <c r="E7" s="167"/>
      <c r="F7" s="167"/>
    </row>
    <row r="8" spans="1:6" x14ac:dyDescent="0.25">
      <c r="A8" s="68" t="s">
        <v>151</v>
      </c>
      <c r="B8" s="69" t="str">
        <f>couverture!D15</f>
        <v xml:space="preserve">1er juillet 2014 </v>
      </c>
      <c r="C8" s="70"/>
      <c r="D8" s="70"/>
      <c r="E8" s="167"/>
      <c r="F8" s="167"/>
    </row>
    <row r="9" spans="1:6" x14ac:dyDescent="0.25">
      <c r="B9" s="168" t="str">
        <f>'tab6 densité'!B9</f>
        <v>(source DAP - EMS1)</v>
      </c>
    </row>
    <row r="11" spans="1:6" ht="25.5" x14ac:dyDescent="0.25">
      <c r="B11" s="119"/>
      <c r="C11" s="78" t="s">
        <v>160</v>
      </c>
      <c r="D11" s="78" t="s">
        <v>161</v>
      </c>
      <c r="E11" s="78" t="s">
        <v>134</v>
      </c>
      <c r="F11" s="78" t="s">
        <v>162</v>
      </c>
    </row>
    <row r="12" spans="1:6" ht="15.6" customHeight="1" x14ac:dyDescent="0.25">
      <c r="B12" s="169" t="s">
        <v>200</v>
      </c>
      <c r="C12" s="170">
        <v>5355</v>
      </c>
      <c r="D12" s="170">
        <v>5268</v>
      </c>
      <c r="E12" s="170">
        <v>5180</v>
      </c>
      <c r="F12" s="171">
        <f t="shared" ref="F12:F20" si="0">E12/D12</f>
        <v>0.98329536826119968</v>
      </c>
    </row>
    <row r="13" spans="1:6" ht="15.6" customHeight="1" x14ac:dyDescent="0.25">
      <c r="B13" s="159" t="s">
        <v>201</v>
      </c>
      <c r="C13" s="170">
        <v>4855</v>
      </c>
      <c r="D13" s="170">
        <v>4743</v>
      </c>
      <c r="E13" s="170">
        <v>5067</v>
      </c>
      <c r="F13" s="171">
        <f t="shared" si="0"/>
        <v>1.0683111954459203</v>
      </c>
    </row>
    <row r="14" spans="1:6" ht="15.6" customHeight="1" x14ac:dyDescent="0.25">
      <c r="B14" s="159" t="s">
        <v>202</v>
      </c>
      <c r="C14" s="170">
        <v>8339</v>
      </c>
      <c r="D14" s="170">
        <v>8120</v>
      </c>
      <c r="E14" s="170">
        <v>9473</v>
      </c>
      <c r="F14" s="171">
        <f t="shared" si="0"/>
        <v>1.1666256157635468</v>
      </c>
    </row>
    <row r="15" spans="1:6" ht="15.6" customHeight="1" x14ac:dyDescent="0.25">
      <c r="B15" s="159" t="s">
        <v>203</v>
      </c>
      <c r="C15" s="170">
        <v>5501</v>
      </c>
      <c r="D15" s="170">
        <v>5431</v>
      </c>
      <c r="E15" s="170">
        <v>5884</v>
      </c>
      <c r="F15" s="171">
        <f t="shared" si="0"/>
        <v>1.0834100533971645</v>
      </c>
    </row>
    <row r="16" spans="1:6" ht="15.6" customHeight="1" x14ac:dyDescent="0.25">
      <c r="B16" s="159" t="s">
        <v>204</v>
      </c>
      <c r="C16" s="170">
        <v>6196</v>
      </c>
      <c r="D16" s="170">
        <v>6154</v>
      </c>
      <c r="E16" s="170">
        <v>7920</v>
      </c>
      <c r="F16" s="171">
        <f t="shared" si="0"/>
        <v>1.2869678258043549</v>
      </c>
    </row>
    <row r="17" spans="2:6" ht="15.6" customHeight="1" x14ac:dyDescent="0.25">
      <c r="B17" s="159" t="s">
        <v>205</v>
      </c>
      <c r="C17" s="170">
        <v>9625</v>
      </c>
      <c r="D17" s="170">
        <v>9544</v>
      </c>
      <c r="E17" s="170">
        <v>13104</v>
      </c>
      <c r="F17" s="171">
        <f t="shared" si="0"/>
        <v>1.3730092204526405</v>
      </c>
    </row>
    <row r="18" spans="2:6" ht="15.6" customHeight="1" x14ac:dyDescent="0.25">
      <c r="B18" s="159" t="s">
        <v>206</v>
      </c>
      <c r="C18" s="170">
        <v>5477</v>
      </c>
      <c r="D18" s="170">
        <v>5351</v>
      </c>
      <c r="E18" s="170">
        <v>6090</v>
      </c>
      <c r="F18" s="171">
        <f t="shared" si="0"/>
        <v>1.1381050270977386</v>
      </c>
    </row>
    <row r="19" spans="2:6" ht="15.6" customHeight="1" x14ac:dyDescent="0.25">
      <c r="B19" s="159" t="s">
        <v>207</v>
      </c>
      <c r="C19" s="170">
        <v>5080</v>
      </c>
      <c r="D19" s="170">
        <v>4927</v>
      </c>
      <c r="E19" s="170">
        <v>5562</v>
      </c>
      <c r="F19" s="171">
        <f t="shared" si="0"/>
        <v>1.1288816724172925</v>
      </c>
    </row>
    <row r="20" spans="2:6" ht="15.6" customHeight="1" x14ac:dyDescent="0.25">
      <c r="B20" s="159" t="s">
        <v>208</v>
      </c>
      <c r="C20" s="170">
        <v>4552</v>
      </c>
      <c r="D20" s="170">
        <v>4404</v>
      </c>
      <c r="E20" s="170">
        <v>5404</v>
      </c>
      <c r="F20" s="171">
        <f t="shared" si="0"/>
        <v>1.2270663033605813</v>
      </c>
    </row>
    <row r="21" spans="2:6" ht="15.6" customHeight="1" x14ac:dyDescent="0.25">
      <c r="B21" s="159"/>
      <c r="C21" s="170"/>
      <c r="D21" s="170"/>
      <c r="E21" s="170"/>
      <c r="F21" s="172"/>
    </row>
    <row r="22" spans="2:6" ht="15.6" customHeight="1" x14ac:dyDescent="0.25">
      <c r="B22" s="160" t="s">
        <v>158</v>
      </c>
      <c r="C22" s="173">
        <v>54980</v>
      </c>
      <c r="D22" s="173">
        <v>53942</v>
      </c>
      <c r="E22" s="173">
        <v>63684</v>
      </c>
      <c r="F22" s="174">
        <f>E22/D22</f>
        <v>1.1806013866745764</v>
      </c>
    </row>
    <row r="23" spans="2:6" ht="15.6" customHeight="1" x14ac:dyDescent="0.25">
      <c r="B23" s="159"/>
      <c r="C23" s="170"/>
      <c r="D23" s="170"/>
      <c r="E23" s="170"/>
      <c r="F23" s="172"/>
    </row>
    <row r="24" spans="2:6" ht="15.6" customHeight="1" x14ac:dyDescent="0.25">
      <c r="B24" s="162" t="s">
        <v>137</v>
      </c>
      <c r="C24" s="170">
        <v>3822</v>
      </c>
      <c r="D24" s="170">
        <v>3770</v>
      </c>
      <c r="E24" s="170">
        <v>4611</v>
      </c>
      <c r="F24" s="171">
        <f>E24/D24</f>
        <v>1.2230769230769232</v>
      </c>
    </row>
    <row r="25" spans="2:6" ht="15.6" customHeight="1" x14ac:dyDescent="0.25">
      <c r="B25" s="159"/>
      <c r="C25" s="175"/>
      <c r="D25" s="175"/>
      <c r="E25" s="175"/>
      <c r="F25" s="176"/>
    </row>
    <row r="26" spans="2:6" ht="15.6" customHeight="1" x14ac:dyDescent="0.25">
      <c r="B26" s="164" t="s">
        <v>138</v>
      </c>
      <c r="C26" s="177">
        <f>SUM(C24:C24,C22)</f>
        <v>58802</v>
      </c>
      <c r="D26" s="177">
        <f>SUM(D24:D24,D22)</f>
        <v>57712</v>
      </c>
      <c r="E26" s="177">
        <f>SUM(E24:E24,E22)</f>
        <v>68295</v>
      </c>
      <c r="F26" s="178">
        <f>E26/D26*100</f>
        <v>118.33760742999723</v>
      </c>
    </row>
    <row r="27" spans="2:6" x14ac:dyDescent="0.25">
      <c r="B27" s="179" t="s">
        <v>279</v>
      </c>
    </row>
    <row r="29" spans="2:6" x14ac:dyDescent="0.25">
      <c r="B29" s="165"/>
      <c r="C29" s="165"/>
      <c r="D29" s="165"/>
      <c r="E29" s="165"/>
      <c r="F29" s="165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F29"/>
  <sheetViews>
    <sheetView zoomScaleNormal="100" zoomScaleSheetLayoutView="100" workbookViewId="0">
      <selection activeCell="E29" sqref="E29"/>
    </sheetView>
  </sheetViews>
  <sheetFormatPr baseColWidth="10" defaultRowHeight="15" x14ac:dyDescent="0.2"/>
  <cols>
    <col min="1" max="1" width="14.5703125" style="99" bestFit="1" customWidth="1"/>
    <col min="2" max="2" width="36" style="99" customWidth="1"/>
    <col min="3" max="5" width="19.7109375" style="99" customWidth="1"/>
    <col min="6" max="6" width="12.5703125" style="99" bestFit="1" customWidth="1"/>
    <col min="7" max="16384" width="11.42578125" style="99"/>
  </cols>
  <sheetData>
    <row r="1" spans="1:6" ht="18.75" x14ac:dyDescent="0.2">
      <c r="B1" s="61" t="s">
        <v>35</v>
      </c>
      <c r="C1" s="61"/>
      <c r="D1" s="61"/>
      <c r="E1" s="61"/>
    </row>
    <row r="2" spans="1:6" ht="18.75" x14ac:dyDescent="0.2">
      <c r="B2" s="61" t="s">
        <v>163</v>
      </c>
      <c r="C2" s="61"/>
      <c r="D2" s="61"/>
      <c r="E2" s="61"/>
    </row>
    <row r="5" spans="1:6" x14ac:dyDescent="0.2">
      <c r="A5" s="64" t="s">
        <v>129</v>
      </c>
      <c r="B5" s="65" t="s">
        <v>130</v>
      </c>
      <c r="C5" s="66"/>
      <c r="D5" s="66"/>
      <c r="E5" s="67"/>
    </row>
    <row r="6" spans="1:6" x14ac:dyDescent="0.2">
      <c r="A6" s="68" t="s">
        <v>131</v>
      </c>
      <c r="B6" s="69" t="str">
        <f>tab1écrouées!B6</f>
        <v xml:space="preserve">1er juillet 2014 </v>
      </c>
      <c r="C6" s="70"/>
      <c r="D6" s="70"/>
      <c r="E6" s="71"/>
    </row>
    <row r="7" spans="1:6" x14ac:dyDescent="0.2">
      <c r="A7" s="68" t="s">
        <v>132</v>
      </c>
      <c r="B7" s="69" t="s">
        <v>133</v>
      </c>
      <c r="C7" s="70"/>
      <c r="D7" s="70"/>
      <c r="E7" s="71"/>
    </row>
    <row r="8" spans="1:6" x14ac:dyDescent="0.2">
      <c r="A8" s="72"/>
      <c r="B8" s="73"/>
      <c r="C8" s="73"/>
      <c r="D8" s="73"/>
      <c r="E8" s="74"/>
    </row>
    <row r="11" spans="1:6" ht="63.75" x14ac:dyDescent="0.2">
      <c r="B11" s="29"/>
      <c r="C11" s="78" t="s">
        <v>238</v>
      </c>
      <c r="D11" s="78" t="s">
        <v>237</v>
      </c>
      <c r="E11" s="78" t="s">
        <v>150</v>
      </c>
      <c r="F11" s="78" t="s">
        <v>135</v>
      </c>
    </row>
    <row r="12" spans="1:6" ht="16.149999999999999" customHeight="1" x14ac:dyDescent="0.2">
      <c r="B12" s="169" t="s">
        <v>200</v>
      </c>
      <c r="C12" s="82">
        <v>692</v>
      </c>
      <c r="D12" s="82">
        <v>52</v>
      </c>
      <c r="E12" s="82">
        <v>49</v>
      </c>
      <c r="F12" s="82">
        <v>793</v>
      </c>
    </row>
    <row r="13" spans="1:6" ht="16.149999999999999" customHeight="1" x14ac:dyDescent="0.2">
      <c r="B13" s="159" t="s">
        <v>201</v>
      </c>
      <c r="C13" s="151">
        <v>910</v>
      </c>
      <c r="D13" s="151">
        <v>33</v>
      </c>
      <c r="E13" s="151">
        <v>37</v>
      </c>
      <c r="F13" s="151">
        <v>980</v>
      </c>
    </row>
    <row r="14" spans="1:6" ht="16.149999999999999" customHeight="1" x14ac:dyDescent="0.2">
      <c r="B14" s="159" t="s">
        <v>202</v>
      </c>
      <c r="C14" s="151">
        <v>1628</v>
      </c>
      <c r="D14" s="151">
        <v>91</v>
      </c>
      <c r="E14" s="151">
        <v>70</v>
      </c>
      <c r="F14" s="151">
        <v>1789</v>
      </c>
    </row>
    <row r="15" spans="1:6" ht="16.149999999999999" customHeight="1" x14ac:dyDescent="0.2">
      <c r="B15" s="159" t="s">
        <v>203</v>
      </c>
      <c r="C15" s="151">
        <v>1323</v>
      </c>
      <c r="D15" s="151">
        <v>43</v>
      </c>
      <c r="E15" s="151">
        <v>67</v>
      </c>
      <c r="F15" s="151">
        <v>1433</v>
      </c>
    </row>
    <row r="16" spans="1:6" ht="16.149999999999999" customHeight="1" x14ac:dyDescent="0.2">
      <c r="B16" s="159" t="s">
        <v>204</v>
      </c>
      <c r="C16" s="151">
        <v>1337</v>
      </c>
      <c r="D16" s="151">
        <v>67</v>
      </c>
      <c r="E16" s="151">
        <v>30</v>
      </c>
      <c r="F16" s="151">
        <v>1434</v>
      </c>
    </row>
    <row r="17" spans="2:6" ht="16.149999999999999" customHeight="1" x14ac:dyDescent="0.2">
      <c r="B17" s="159" t="s">
        <v>205</v>
      </c>
      <c r="C17" s="151">
        <v>1854</v>
      </c>
      <c r="D17" s="151">
        <v>98</v>
      </c>
      <c r="E17" s="151">
        <v>160</v>
      </c>
      <c r="F17" s="151">
        <v>2112</v>
      </c>
    </row>
    <row r="18" spans="2:6" ht="16.149999999999999" customHeight="1" x14ac:dyDescent="0.2">
      <c r="B18" s="159" t="s">
        <v>206</v>
      </c>
      <c r="C18" s="151">
        <v>1187</v>
      </c>
      <c r="D18" s="151">
        <v>32</v>
      </c>
      <c r="E18" s="151">
        <v>93</v>
      </c>
      <c r="F18" s="151">
        <v>1312</v>
      </c>
    </row>
    <row r="19" spans="2:6" ht="16.149999999999999" customHeight="1" x14ac:dyDescent="0.2">
      <c r="B19" s="159" t="s">
        <v>207</v>
      </c>
      <c r="C19" s="151">
        <v>976</v>
      </c>
      <c r="D19" s="151">
        <v>48</v>
      </c>
      <c r="E19" s="151">
        <v>96</v>
      </c>
      <c r="F19" s="151">
        <v>1120</v>
      </c>
    </row>
    <row r="20" spans="2:6" ht="16.149999999999999" customHeight="1" x14ac:dyDescent="0.2">
      <c r="B20" s="159" t="s">
        <v>208</v>
      </c>
      <c r="C20" s="151">
        <v>822</v>
      </c>
      <c r="D20" s="151">
        <v>38</v>
      </c>
      <c r="E20" s="151">
        <v>35</v>
      </c>
      <c r="F20" s="151">
        <v>895</v>
      </c>
    </row>
    <row r="21" spans="2:6" ht="16.149999999999999" customHeight="1" x14ac:dyDescent="0.2">
      <c r="B21" s="159"/>
      <c r="C21" s="151"/>
      <c r="D21" s="151"/>
      <c r="E21" s="151"/>
      <c r="F21" s="151"/>
    </row>
    <row r="22" spans="2:6" ht="16.149999999999999" customHeight="1" x14ac:dyDescent="0.2">
      <c r="B22" s="160" t="s">
        <v>158</v>
      </c>
      <c r="C22" s="161">
        <v>10729</v>
      </c>
      <c r="D22" s="161">
        <v>502</v>
      </c>
      <c r="E22" s="161">
        <v>637</v>
      </c>
      <c r="F22" s="161">
        <v>11868</v>
      </c>
    </row>
    <row r="23" spans="2:6" ht="16.149999999999999" customHeight="1" x14ac:dyDescent="0.2">
      <c r="B23" s="159"/>
      <c r="C23" s="151"/>
      <c r="D23" s="151"/>
      <c r="E23" s="151"/>
      <c r="F23" s="151"/>
    </row>
    <row r="24" spans="2:6" ht="16.149999999999999" customHeight="1" x14ac:dyDescent="0.2">
      <c r="B24" s="162" t="s">
        <v>137</v>
      </c>
      <c r="C24" s="151">
        <v>481</v>
      </c>
      <c r="D24" s="151">
        <v>51</v>
      </c>
      <c r="E24" s="151">
        <v>25</v>
      </c>
      <c r="F24" s="151">
        <v>557</v>
      </c>
    </row>
    <row r="25" spans="2:6" ht="16.149999999999999" customHeight="1" x14ac:dyDescent="0.2">
      <c r="B25" s="162"/>
      <c r="C25" s="151"/>
      <c r="D25" s="151"/>
      <c r="E25" s="151"/>
      <c r="F25" s="151"/>
    </row>
    <row r="26" spans="2:6" ht="16.149999999999999" customHeight="1" x14ac:dyDescent="0.2">
      <c r="B26" s="159"/>
      <c r="C26" s="163"/>
      <c r="D26" s="163"/>
      <c r="E26" s="163"/>
      <c r="F26" s="163"/>
    </row>
    <row r="27" spans="2:6" ht="16.149999999999999" customHeight="1" x14ac:dyDescent="0.2">
      <c r="B27" s="164" t="s">
        <v>138</v>
      </c>
      <c r="C27" s="93">
        <f>SUM(C22,C24)</f>
        <v>11210</v>
      </c>
      <c r="D27" s="93">
        <f>SUM(D22,D24)</f>
        <v>553</v>
      </c>
      <c r="E27" s="93">
        <f>SUM(E22,E24)</f>
        <v>662</v>
      </c>
      <c r="F27" s="93">
        <f>SUM(F22,F24:F25)</f>
        <v>12425</v>
      </c>
    </row>
    <row r="29" spans="2:6" x14ac:dyDescent="0.2">
      <c r="B29" s="165"/>
      <c r="C29" s="165"/>
      <c r="D29" s="165"/>
      <c r="E29" s="165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&amp;LStatistiques mensuelles
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zoomScaleNormal="100" workbookViewId="0"/>
  </sheetViews>
  <sheetFormatPr baseColWidth="10" defaultRowHeight="15" x14ac:dyDescent="0.2"/>
  <cols>
    <col min="1" max="1" width="14.5703125" style="99" bestFit="1" customWidth="1"/>
    <col min="2" max="2" width="36.7109375" style="99" customWidth="1"/>
    <col min="3" max="5" width="20.7109375" style="99" customWidth="1"/>
    <col min="6" max="16384" width="11.42578125" style="99"/>
  </cols>
  <sheetData>
    <row r="1" spans="1:5" ht="18.75" x14ac:dyDescent="0.2">
      <c r="B1" s="61" t="s">
        <v>38</v>
      </c>
      <c r="C1" s="61"/>
      <c r="D1" s="61"/>
      <c r="E1" s="61"/>
    </row>
    <row r="2" spans="1:5" ht="18.75" x14ac:dyDescent="0.2">
      <c r="B2" s="61" t="s">
        <v>164</v>
      </c>
      <c r="C2" s="61"/>
      <c r="D2" s="61"/>
      <c r="E2" s="61"/>
    </row>
    <row r="5" spans="1:5" x14ac:dyDescent="0.2">
      <c r="A5" s="64" t="s">
        <v>129</v>
      </c>
      <c r="B5" s="65" t="s">
        <v>130</v>
      </c>
      <c r="C5" s="66"/>
      <c r="D5" s="66"/>
      <c r="E5" s="67"/>
    </row>
    <row r="6" spans="1:5" x14ac:dyDescent="0.2">
      <c r="A6" s="68" t="s">
        <v>131</v>
      </c>
      <c r="B6" s="69" t="str">
        <f>couverture!D15</f>
        <v xml:space="preserve">1er juillet 2014 </v>
      </c>
      <c r="C6" s="70"/>
      <c r="D6" s="70"/>
      <c r="E6" s="71"/>
    </row>
    <row r="7" spans="1:5" x14ac:dyDescent="0.2">
      <c r="A7" s="68" t="s">
        <v>132</v>
      </c>
      <c r="B7" s="69" t="s">
        <v>133</v>
      </c>
      <c r="C7" s="70"/>
      <c r="D7" s="70"/>
      <c r="E7" s="71"/>
    </row>
    <row r="8" spans="1:5" x14ac:dyDescent="0.2">
      <c r="A8" s="68" t="s">
        <v>151</v>
      </c>
      <c r="B8" s="69" t="str">
        <f>couverture!D15</f>
        <v xml:space="preserve">1er juillet 2014 </v>
      </c>
      <c r="C8" s="70"/>
      <c r="D8" s="70"/>
      <c r="E8" s="71"/>
    </row>
    <row r="9" spans="1:5" x14ac:dyDescent="0.2">
      <c r="B9" s="180" t="str">
        <f>'tab6 densité'!B9</f>
        <v>(source DAP - EMS1)</v>
      </c>
      <c r="E9" s="181"/>
    </row>
    <row r="11" spans="1:5" ht="38.25" x14ac:dyDescent="0.2">
      <c r="B11" s="29"/>
      <c r="C11" s="78" t="s">
        <v>165</v>
      </c>
      <c r="D11" s="78" t="s">
        <v>166</v>
      </c>
      <c r="E11" s="78" t="s">
        <v>167</v>
      </c>
    </row>
    <row r="12" spans="1:5" ht="15.6" customHeight="1" x14ac:dyDescent="0.2">
      <c r="B12" s="182" t="s">
        <v>200</v>
      </c>
      <c r="C12" s="183">
        <v>1.1203146691346599</v>
      </c>
      <c r="D12" s="183">
        <v>0.88799485033794656</v>
      </c>
      <c r="E12" s="183">
        <v>0.98329536826119968</v>
      </c>
    </row>
    <row r="13" spans="1:5" ht="15.6" customHeight="1" x14ac:dyDescent="0.2">
      <c r="B13" s="184" t="s">
        <v>201</v>
      </c>
      <c r="C13" s="183">
        <v>1.2983508245877062</v>
      </c>
      <c r="D13" s="183">
        <v>0.90043763676148791</v>
      </c>
      <c r="E13" s="183">
        <v>1.0683111954459203</v>
      </c>
    </row>
    <row r="14" spans="1:5" ht="15.6" customHeight="1" x14ac:dyDescent="0.2">
      <c r="B14" s="184" t="s">
        <v>202</v>
      </c>
      <c r="C14" s="183">
        <v>1.3612497287914949</v>
      </c>
      <c r="D14" s="183">
        <v>0.91113642836798636</v>
      </c>
      <c r="E14" s="183">
        <v>1.1666256157635468</v>
      </c>
    </row>
    <row r="15" spans="1:5" ht="15.6" customHeight="1" x14ac:dyDescent="0.2">
      <c r="B15" s="184" t="s">
        <v>203</v>
      </c>
      <c r="C15" s="183">
        <v>1.171137339055794</v>
      </c>
      <c r="D15" s="183">
        <v>0.89136817381092193</v>
      </c>
      <c r="E15" s="183">
        <v>1.0834100533971645</v>
      </c>
    </row>
    <row r="16" spans="1:5" ht="15.6" customHeight="1" x14ac:dyDescent="0.2">
      <c r="B16" s="184" t="s">
        <v>204</v>
      </c>
      <c r="C16" s="183">
        <v>1.5115864527629232</v>
      </c>
      <c r="D16" s="183">
        <v>0.89088459811405474</v>
      </c>
      <c r="E16" s="183">
        <v>1.2869678258043549</v>
      </c>
    </row>
    <row r="17" spans="2:5" ht="15.6" customHeight="1" x14ac:dyDescent="0.2">
      <c r="B17" s="184" t="s">
        <v>205</v>
      </c>
      <c r="C17" s="183">
        <v>1.4825313117996044</v>
      </c>
      <c r="D17" s="183">
        <v>0.94895354772843288</v>
      </c>
      <c r="E17" s="183">
        <v>1.3730092204526405</v>
      </c>
    </row>
    <row r="18" spans="2:5" ht="15.6" customHeight="1" x14ac:dyDescent="0.2">
      <c r="B18" s="184" t="s">
        <v>206</v>
      </c>
      <c r="C18" s="183">
        <v>1.3625576796308503</v>
      </c>
      <c r="D18" s="183">
        <v>0.84419507984462672</v>
      </c>
      <c r="E18" s="183">
        <v>1.1381050270977386</v>
      </c>
    </row>
    <row r="19" spans="2:5" ht="15.6" customHeight="1" x14ac:dyDescent="0.2">
      <c r="B19" s="184" t="s">
        <v>207</v>
      </c>
      <c r="C19" s="183">
        <v>1.3476227591582228</v>
      </c>
      <c r="D19" s="183">
        <v>0.891147818720881</v>
      </c>
      <c r="E19" s="183">
        <v>1.1288816724172925</v>
      </c>
    </row>
    <row r="20" spans="2:5" ht="15.6" customHeight="1" x14ac:dyDescent="0.2">
      <c r="B20" s="184" t="s">
        <v>208</v>
      </c>
      <c r="C20" s="183">
        <v>1.4132200886262924</v>
      </c>
      <c r="D20" s="183">
        <v>0.92983490566037741</v>
      </c>
      <c r="E20" s="183">
        <v>1.2270663033605813</v>
      </c>
    </row>
    <row r="21" spans="2:5" ht="15.6" customHeight="1" x14ac:dyDescent="0.2">
      <c r="B21" s="184"/>
      <c r="C21" s="183"/>
      <c r="D21" s="183"/>
      <c r="E21" s="183"/>
    </row>
    <row r="22" spans="2:5" ht="15.6" customHeight="1" x14ac:dyDescent="0.2">
      <c r="B22" s="185" t="s">
        <v>158</v>
      </c>
      <c r="C22" s="186">
        <v>1.3694421238280887</v>
      </c>
      <c r="D22" s="186">
        <v>0.89834898025250887</v>
      </c>
      <c r="E22" s="186">
        <v>1.1806013866745764</v>
      </c>
    </row>
    <row r="23" spans="2:5" ht="15.6" customHeight="1" x14ac:dyDescent="0.2">
      <c r="B23" s="184"/>
      <c r="C23" s="187"/>
      <c r="D23" s="187"/>
      <c r="E23" s="187"/>
    </row>
    <row r="24" spans="2:5" ht="15.6" customHeight="1" x14ac:dyDescent="0.2">
      <c r="B24" s="188" t="s">
        <v>168</v>
      </c>
      <c r="C24" s="183">
        <v>1.3162813575996064</v>
      </c>
      <c r="D24" s="183">
        <v>1.1139896373056994</v>
      </c>
      <c r="E24" s="183">
        <v>1.2230769230769232</v>
      </c>
    </row>
    <row r="25" spans="2:5" ht="15.6" customHeight="1" x14ac:dyDescent="0.2">
      <c r="B25" s="188"/>
      <c r="C25" s="187"/>
      <c r="D25" s="187"/>
      <c r="E25" s="187"/>
    </row>
    <row r="26" spans="2:5" ht="15.6" customHeight="1" x14ac:dyDescent="0.2">
      <c r="B26" s="184"/>
      <c r="C26" s="187"/>
      <c r="D26" s="187"/>
      <c r="E26" s="187"/>
    </row>
    <row r="27" spans="2:5" ht="15.6" customHeight="1" x14ac:dyDescent="0.2">
      <c r="B27" s="189" t="s">
        <v>138</v>
      </c>
      <c r="C27" s="190">
        <v>1.3662959944108057</v>
      </c>
      <c r="D27" s="190">
        <v>0.91438356164383561</v>
      </c>
      <c r="E27" s="190">
        <v>1.1833760742999724</v>
      </c>
    </row>
    <row r="28" spans="2:5" x14ac:dyDescent="0.2">
      <c r="B28" s="179" t="s">
        <v>279</v>
      </c>
    </row>
    <row r="29" spans="2:5" x14ac:dyDescent="0.2">
      <c r="B29" s="332" t="s">
        <v>231</v>
      </c>
    </row>
    <row r="30" spans="2:5" x14ac:dyDescent="0.2">
      <c r="B30" s="165"/>
      <c r="C30" s="165"/>
      <c r="D30" s="165"/>
      <c r="E30" s="165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&amp;LStatistiques mensuelles
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I25"/>
  <sheetViews>
    <sheetView zoomScaleNormal="100" workbookViewId="0"/>
  </sheetViews>
  <sheetFormatPr baseColWidth="10" defaultRowHeight="15" x14ac:dyDescent="0.25"/>
  <cols>
    <col min="1" max="1" width="14.5703125" style="100" bestFit="1" customWidth="1"/>
    <col min="2" max="2" width="32.7109375" style="100" customWidth="1"/>
    <col min="3" max="3" width="17.5703125" style="100" customWidth="1"/>
    <col min="4" max="4" width="16" style="100" customWidth="1"/>
    <col min="5" max="5" width="25" style="100" customWidth="1"/>
    <col min="6" max="6" width="16.7109375" style="100" customWidth="1"/>
    <col min="7" max="16384" width="11.42578125" style="100"/>
  </cols>
  <sheetData>
    <row r="1" spans="1:9" ht="18.75" x14ac:dyDescent="0.25">
      <c r="A1" s="99"/>
      <c r="B1" s="61" t="s">
        <v>41</v>
      </c>
      <c r="C1" s="61"/>
      <c r="D1" s="61"/>
      <c r="E1" s="99"/>
      <c r="F1" s="99"/>
    </row>
    <row r="2" spans="1:9" ht="18.75" x14ac:dyDescent="0.25">
      <c r="A2" s="99"/>
      <c r="B2" s="61" t="s">
        <v>169</v>
      </c>
      <c r="C2" s="61"/>
      <c r="D2" s="61"/>
      <c r="E2" s="99"/>
      <c r="F2" s="99"/>
    </row>
    <row r="3" spans="1:9" x14ac:dyDescent="0.25">
      <c r="A3" s="99"/>
      <c r="B3" s="99"/>
      <c r="C3" s="99"/>
      <c r="D3" s="99"/>
      <c r="E3" s="99"/>
      <c r="F3" s="99"/>
    </row>
    <row r="4" spans="1:9" x14ac:dyDescent="0.25">
      <c r="A4" s="99"/>
      <c r="B4" s="99"/>
      <c r="C4" s="99"/>
      <c r="D4" s="99"/>
      <c r="E4" s="181"/>
      <c r="F4" s="99"/>
    </row>
    <row r="5" spans="1:9" x14ac:dyDescent="0.25">
      <c r="A5" s="64" t="s">
        <v>129</v>
      </c>
      <c r="B5" s="65" t="s">
        <v>130</v>
      </c>
      <c r="C5" s="66"/>
      <c r="D5" s="66"/>
      <c r="E5" s="66"/>
      <c r="F5" s="66"/>
    </row>
    <row r="6" spans="1:9" x14ac:dyDescent="0.25">
      <c r="A6" s="68" t="s">
        <v>131</v>
      </c>
      <c r="B6" s="69" t="str">
        <f>couverture!D15</f>
        <v xml:space="preserve">1er juillet 2014 </v>
      </c>
      <c r="C6" s="70"/>
      <c r="D6" s="70"/>
      <c r="E6" s="70"/>
      <c r="F6" s="70"/>
    </row>
    <row r="7" spans="1:9" x14ac:dyDescent="0.25">
      <c r="A7" s="68" t="s">
        <v>132</v>
      </c>
      <c r="B7" s="69" t="s">
        <v>133</v>
      </c>
      <c r="C7" s="70"/>
      <c r="D7" s="70"/>
      <c r="E7" s="70"/>
      <c r="F7" s="70"/>
    </row>
    <row r="8" spans="1:9" x14ac:dyDescent="0.25">
      <c r="A8" s="68" t="s">
        <v>151</v>
      </c>
      <c r="B8" s="69" t="str">
        <f>couverture!D15</f>
        <v xml:space="preserve">1er juillet 2014 </v>
      </c>
      <c r="C8" s="70"/>
      <c r="D8" s="70"/>
      <c r="E8" s="70"/>
      <c r="F8" s="70"/>
    </row>
    <row r="9" spans="1:9" x14ac:dyDescent="0.25">
      <c r="B9" s="168" t="s">
        <v>170</v>
      </c>
      <c r="E9" s="122"/>
      <c r="G9" s="135"/>
    </row>
    <row r="10" spans="1:9" x14ac:dyDescent="0.25">
      <c r="B10" s="168"/>
      <c r="E10" s="122"/>
      <c r="G10" s="122"/>
    </row>
    <row r="11" spans="1:9" x14ac:dyDescent="0.25">
      <c r="B11" s="168"/>
      <c r="E11" s="122"/>
      <c r="G11" s="122"/>
    </row>
    <row r="13" spans="1:9" ht="41.25" customHeight="1" x14ac:dyDescent="0.25">
      <c r="B13" s="191" t="s">
        <v>171</v>
      </c>
      <c r="C13" s="191" t="s">
        <v>160</v>
      </c>
      <c r="D13" s="191" t="s">
        <v>161</v>
      </c>
      <c r="E13" s="191" t="s">
        <v>172</v>
      </c>
      <c r="F13" s="191" t="s">
        <v>162</v>
      </c>
      <c r="H13" s="192"/>
      <c r="I13" s="192"/>
    </row>
    <row r="14" spans="1:9" ht="15" customHeight="1" x14ac:dyDescent="0.25">
      <c r="B14" s="193" t="s">
        <v>173</v>
      </c>
      <c r="C14" s="194">
        <v>34224</v>
      </c>
      <c r="D14" s="194">
        <v>33999</v>
      </c>
      <c r="E14" s="194">
        <v>46657</v>
      </c>
      <c r="F14" s="195">
        <f t="shared" ref="F14:F19" si="0">E14/D14*100</f>
        <v>137.23050677961118</v>
      </c>
      <c r="H14" s="196"/>
      <c r="I14" s="192"/>
    </row>
    <row r="15" spans="1:9" ht="15" customHeight="1" x14ac:dyDescent="0.25">
      <c r="B15" s="197" t="s">
        <v>174</v>
      </c>
      <c r="C15" s="194">
        <v>19893</v>
      </c>
      <c r="D15" s="194">
        <v>19370</v>
      </c>
      <c r="E15" s="194">
        <v>18199</v>
      </c>
      <c r="F15" s="198">
        <f t="shared" si="0"/>
        <v>93.95456892101187</v>
      </c>
      <c r="H15" s="196"/>
      <c r="I15" s="192"/>
    </row>
    <row r="16" spans="1:9" ht="15" customHeight="1" x14ac:dyDescent="0.25">
      <c r="B16" s="197" t="s">
        <v>175</v>
      </c>
      <c r="C16" s="194">
        <v>2453</v>
      </c>
      <c r="D16" s="194">
        <v>2167</v>
      </c>
      <c r="E16" s="194">
        <v>1723</v>
      </c>
      <c r="F16" s="198">
        <f t="shared" si="0"/>
        <v>79.510844485463778</v>
      </c>
      <c r="G16" s="135"/>
      <c r="H16" s="196"/>
      <c r="I16" s="192"/>
    </row>
    <row r="17" spans="2:9" ht="15" customHeight="1" x14ac:dyDescent="0.25">
      <c r="B17" s="199" t="s">
        <v>176</v>
      </c>
      <c r="C17" s="194">
        <v>609</v>
      </c>
      <c r="D17" s="194">
        <v>609</v>
      </c>
      <c r="E17" s="194">
        <v>430</v>
      </c>
      <c r="F17" s="198">
        <f t="shared" si="0"/>
        <v>70.607553366174059</v>
      </c>
      <c r="H17" s="196"/>
      <c r="I17" s="192"/>
    </row>
    <row r="18" spans="2:9" ht="15" customHeight="1" x14ac:dyDescent="0.25">
      <c r="B18" s="199" t="s">
        <v>177</v>
      </c>
      <c r="C18" s="194">
        <v>945</v>
      </c>
      <c r="D18" s="194">
        <v>896</v>
      </c>
      <c r="E18" s="194">
        <v>790</v>
      </c>
      <c r="F18" s="198">
        <f t="shared" si="0"/>
        <v>88.169642857142861</v>
      </c>
      <c r="H18" s="196"/>
      <c r="I18" s="192"/>
    </row>
    <row r="19" spans="2:9" ht="15" customHeight="1" x14ac:dyDescent="0.25">
      <c r="B19" s="199" t="s">
        <v>178</v>
      </c>
      <c r="C19" s="194">
        <v>357</v>
      </c>
      <c r="D19" s="194">
        <v>353</v>
      </c>
      <c r="E19" s="194">
        <v>278</v>
      </c>
      <c r="F19" s="198">
        <f t="shared" si="0"/>
        <v>78.753541076487252</v>
      </c>
      <c r="H19" s="192"/>
      <c r="I19" s="192"/>
    </row>
    <row r="20" spans="2:9" x14ac:dyDescent="0.25">
      <c r="B20" s="199" t="s">
        <v>240</v>
      </c>
      <c r="C20" s="194">
        <v>321</v>
      </c>
      <c r="D20" s="194">
        <v>318</v>
      </c>
      <c r="E20" s="194">
        <v>218</v>
      </c>
      <c r="F20" s="198">
        <f>E20/D20*100</f>
        <v>68.55345911949685</v>
      </c>
    </row>
    <row r="21" spans="2:9" x14ac:dyDescent="0.25">
      <c r="B21" s="200" t="s">
        <v>143</v>
      </c>
      <c r="C21" s="201">
        <f>SUM(C14:C20)</f>
        <v>58802</v>
      </c>
      <c r="D21" s="201">
        <f>SUM(D14:D20)</f>
        <v>57712</v>
      </c>
      <c r="E21" s="201">
        <f>SUM(E14:E20)</f>
        <v>68295</v>
      </c>
      <c r="F21" s="202">
        <f>E21/D21*100</f>
        <v>118.33760742999723</v>
      </c>
    </row>
    <row r="22" spans="2:9" x14ac:dyDescent="0.25">
      <c r="B22" s="203" t="s">
        <v>179</v>
      </c>
      <c r="C22" s="122"/>
      <c r="D22" s="122"/>
      <c r="E22" s="122"/>
      <c r="F22" s="204"/>
    </row>
    <row r="23" spans="2:9" x14ac:dyDescent="0.25">
      <c r="B23" s="203" t="s">
        <v>279</v>
      </c>
      <c r="C23" s="122"/>
      <c r="D23" s="122"/>
      <c r="E23" s="122"/>
      <c r="F23" s="204"/>
    </row>
    <row r="24" spans="2:9" x14ac:dyDescent="0.25">
      <c r="B24" s="203" t="s">
        <v>180</v>
      </c>
    </row>
    <row r="25" spans="2:9" x14ac:dyDescent="0.25">
      <c r="B25" s="103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zoomScaleNormal="100" workbookViewId="0"/>
  </sheetViews>
  <sheetFormatPr baseColWidth="10" defaultRowHeight="12.75" x14ac:dyDescent="0.2"/>
  <cols>
    <col min="1" max="1" width="23.28515625" style="29" customWidth="1"/>
    <col min="2" max="10" width="9.7109375" style="29" customWidth="1"/>
    <col min="11" max="16384" width="11.42578125" style="29"/>
  </cols>
  <sheetData>
    <row r="1" spans="1:10" ht="18.75" x14ac:dyDescent="0.2">
      <c r="B1" s="61" t="s">
        <v>44</v>
      </c>
      <c r="C1" s="61"/>
      <c r="D1" s="61"/>
      <c r="E1" s="61"/>
      <c r="F1" s="61"/>
      <c r="G1" s="61"/>
      <c r="H1" s="61"/>
    </row>
    <row r="2" spans="1:10" ht="18.75" x14ac:dyDescent="0.2">
      <c r="B2" s="61" t="s">
        <v>45</v>
      </c>
      <c r="C2" s="61"/>
      <c r="D2" s="61"/>
      <c r="E2" s="61"/>
      <c r="F2" s="61"/>
      <c r="G2" s="61"/>
      <c r="H2" s="61"/>
    </row>
    <row r="3" spans="1:10" ht="18.75" x14ac:dyDescent="0.2">
      <c r="B3" s="61"/>
      <c r="C3" s="61"/>
      <c r="D3" s="61"/>
      <c r="E3" s="61"/>
      <c r="F3" s="61"/>
      <c r="G3" s="61"/>
      <c r="H3" s="61"/>
    </row>
    <row r="5" spans="1:10" ht="15" x14ac:dyDescent="0.2">
      <c r="A5" s="64" t="s">
        <v>129</v>
      </c>
      <c r="B5" s="65" t="s">
        <v>130</v>
      </c>
      <c r="C5" s="66"/>
      <c r="D5" s="66"/>
      <c r="E5" s="66"/>
      <c r="F5" s="66"/>
      <c r="G5" s="66"/>
      <c r="H5" s="205"/>
    </row>
    <row r="6" spans="1:10" ht="15" x14ac:dyDescent="0.2">
      <c r="A6" s="68" t="s">
        <v>131</v>
      </c>
      <c r="B6" s="69" t="str">
        <f>couverture!D15</f>
        <v xml:space="preserve">1er juillet 2014 </v>
      </c>
      <c r="C6" s="70"/>
      <c r="D6" s="70"/>
      <c r="E6" s="70"/>
      <c r="F6" s="70"/>
      <c r="G6" s="70"/>
      <c r="H6" s="206"/>
    </row>
    <row r="7" spans="1:10" ht="15" x14ac:dyDescent="0.2">
      <c r="A7" s="68" t="s">
        <v>132</v>
      </c>
      <c r="B7" s="69" t="s">
        <v>133</v>
      </c>
      <c r="C7" s="70"/>
      <c r="D7" s="70"/>
      <c r="E7" s="70"/>
      <c r="F7" s="70"/>
      <c r="G7" s="70"/>
      <c r="H7" s="206"/>
    </row>
    <row r="8" spans="1:10" ht="15" x14ac:dyDescent="0.2">
      <c r="A8" s="102"/>
      <c r="B8" s="101"/>
      <c r="C8" s="101"/>
      <c r="D8" s="101"/>
      <c r="E8" s="101"/>
      <c r="F8" s="101"/>
      <c r="G8" s="101"/>
    </row>
    <row r="9" spans="1:10" ht="15" x14ac:dyDescent="0.2">
      <c r="A9" s="102"/>
      <c r="B9" s="101"/>
      <c r="C9" s="101"/>
      <c r="D9" s="101"/>
      <c r="E9" s="101"/>
    </row>
    <row r="10" spans="1:10" s="99" customFormat="1" ht="25.5" customHeight="1" x14ac:dyDescent="0.2">
      <c r="A10" s="475" t="s">
        <v>181</v>
      </c>
      <c r="B10" s="477" t="s">
        <v>136</v>
      </c>
      <c r="C10" s="478"/>
      <c r="D10" s="479"/>
      <c r="E10" s="477" t="s">
        <v>182</v>
      </c>
      <c r="F10" s="478"/>
      <c r="G10" s="479"/>
      <c r="H10" s="480" t="s">
        <v>183</v>
      </c>
      <c r="I10" s="481"/>
      <c r="J10" s="482"/>
    </row>
    <row r="11" spans="1:10" s="99" customFormat="1" ht="15" x14ac:dyDescent="0.2">
      <c r="A11" s="476"/>
      <c r="B11" s="209" t="s">
        <v>184</v>
      </c>
      <c r="C11" s="209" t="s">
        <v>185</v>
      </c>
      <c r="D11" s="209" t="s">
        <v>143</v>
      </c>
      <c r="E11" s="209" t="s">
        <v>184</v>
      </c>
      <c r="F11" s="209" t="s">
        <v>185</v>
      </c>
      <c r="G11" s="209" t="s">
        <v>143</v>
      </c>
      <c r="H11" s="209" t="s">
        <v>184</v>
      </c>
      <c r="I11" s="209" t="s">
        <v>185</v>
      </c>
      <c r="J11" s="209" t="s">
        <v>143</v>
      </c>
    </row>
    <row r="12" spans="1:10" s="99" customFormat="1" ht="15" x14ac:dyDescent="0.2">
      <c r="A12" s="210"/>
      <c r="B12" s="211"/>
      <c r="C12" s="211"/>
      <c r="D12" s="212"/>
      <c r="E12" s="211"/>
      <c r="F12" s="211"/>
      <c r="G12" s="212"/>
      <c r="H12" s="212"/>
      <c r="I12" s="212"/>
      <c r="J12" s="212"/>
    </row>
    <row r="13" spans="1:10" s="99" customFormat="1" ht="15" x14ac:dyDescent="0.2">
      <c r="A13" s="159"/>
      <c r="B13" s="213"/>
      <c r="C13" s="213"/>
      <c r="D13" s="213"/>
      <c r="E13" s="213"/>
      <c r="F13" s="213"/>
      <c r="G13" s="213"/>
      <c r="H13" s="213"/>
      <c r="I13" s="213"/>
      <c r="J13" s="213"/>
    </row>
    <row r="14" spans="1:10" s="99" customFormat="1" ht="15" x14ac:dyDescent="0.2">
      <c r="A14" s="214" t="s">
        <v>141</v>
      </c>
      <c r="B14" s="215">
        <v>15866</v>
      </c>
      <c r="C14" s="215">
        <v>771</v>
      </c>
      <c r="D14" s="216">
        <f>SUM(B14:C14)</f>
        <v>16637</v>
      </c>
      <c r="E14" s="215">
        <v>1100</v>
      </c>
      <c r="F14" s="215">
        <v>36</v>
      </c>
      <c r="G14" s="216">
        <f>SUM(E14:F14)</f>
        <v>1136</v>
      </c>
      <c r="H14" s="213">
        <f>+B14+E14</f>
        <v>16966</v>
      </c>
      <c r="I14" s="213">
        <f>+C14+F14</f>
        <v>807</v>
      </c>
      <c r="J14" s="216">
        <f>+H14+I14</f>
        <v>17773</v>
      </c>
    </row>
    <row r="15" spans="1:10" s="99" customFormat="1" ht="15" x14ac:dyDescent="0.2">
      <c r="A15" s="217"/>
      <c r="B15" s="215"/>
      <c r="C15" s="215"/>
      <c r="D15" s="213"/>
      <c r="E15" s="215"/>
      <c r="F15" s="215"/>
      <c r="G15" s="213"/>
      <c r="H15" s="213"/>
      <c r="I15" s="213"/>
      <c r="J15" s="213"/>
    </row>
    <row r="16" spans="1:10" s="99" customFormat="1" ht="15" x14ac:dyDescent="0.2">
      <c r="A16" s="217"/>
      <c r="B16" s="213"/>
      <c r="C16" s="213"/>
      <c r="D16" s="213"/>
      <c r="E16" s="213"/>
      <c r="F16" s="213"/>
      <c r="G16" s="213"/>
      <c r="H16" s="213"/>
      <c r="I16" s="213"/>
      <c r="J16" s="213"/>
    </row>
    <row r="17" spans="1:11" s="99" customFormat="1" ht="15" x14ac:dyDescent="0.2">
      <c r="A17" s="218"/>
      <c r="B17" s="219"/>
      <c r="C17" s="219"/>
      <c r="D17" s="220"/>
      <c r="E17" s="219"/>
      <c r="F17" s="219"/>
      <c r="G17" s="220"/>
      <c r="H17" s="220"/>
      <c r="I17" s="220"/>
      <c r="J17" s="220"/>
    </row>
    <row r="18" spans="1:11" s="99" customFormat="1" ht="15" x14ac:dyDescent="0.2">
      <c r="A18" s="217"/>
      <c r="B18" s="213"/>
      <c r="C18" s="213"/>
      <c r="D18" s="213"/>
      <c r="E18" s="213"/>
      <c r="F18" s="213"/>
      <c r="G18" s="213"/>
      <c r="H18" s="213"/>
      <c r="I18" s="213"/>
      <c r="J18" s="213"/>
    </row>
    <row r="19" spans="1:11" s="99" customFormat="1" ht="15" x14ac:dyDescent="0.2">
      <c r="A19" s="214" t="s">
        <v>142</v>
      </c>
      <c r="B19" s="215">
        <v>45670</v>
      </c>
      <c r="C19" s="215">
        <v>1377</v>
      </c>
      <c r="D19" s="216">
        <f>SUM(B19:C19)</f>
        <v>47047</v>
      </c>
      <c r="E19" s="215">
        <v>3377</v>
      </c>
      <c r="F19" s="215">
        <v>98</v>
      </c>
      <c r="G19" s="216">
        <f>SUM(E19:F19)</f>
        <v>3475</v>
      </c>
      <c r="H19" s="213">
        <f>+B19+E19</f>
        <v>49047</v>
      </c>
      <c r="I19" s="213">
        <f>+C19+F19</f>
        <v>1475</v>
      </c>
      <c r="J19" s="216">
        <f>+H19+I19</f>
        <v>50522</v>
      </c>
    </row>
    <row r="20" spans="1:11" s="99" customFormat="1" ht="15" x14ac:dyDescent="0.2">
      <c r="A20" s="217"/>
      <c r="B20" s="215"/>
      <c r="C20" s="215"/>
      <c r="D20" s="213"/>
      <c r="E20" s="215"/>
      <c r="F20" s="215"/>
      <c r="G20" s="213"/>
      <c r="H20" s="213"/>
      <c r="I20" s="213"/>
      <c r="J20" s="213"/>
    </row>
    <row r="21" spans="1:11" s="99" customFormat="1" ht="15" x14ac:dyDescent="0.2">
      <c r="A21" s="217"/>
      <c r="B21" s="213"/>
      <c r="C21" s="213"/>
      <c r="D21" s="213"/>
      <c r="E21" s="213"/>
      <c r="F21" s="213"/>
      <c r="G21" s="213"/>
      <c r="H21" s="213"/>
      <c r="I21" s="213"/>
      <c r="J21" s="213"/>
    </row>
    <row r="22" spans="1:11" s="99" customFormat="1" ht="15" x14ac:dyDescent="0.2">
      <c r="A22" s="221" t="s">
        <v>143</v>
      </c>
      <c r="B22" s="222">
        <f t="shared" ref="B22:J22" si="0">SUM(B19,B14)</f>
        <v>61536</v>
      </c>
      <c r="C22" s="222">
        <f t="shared" si="0"/>
        <v>2148</v>
      </c>
      <c r="D22" s="222">
        <f t="shared" si="0"/>
        <v>63684</v>
      </c>
      <c r="E22" s="222">
        <f t="shared" si="0"/>
        <v>4477</v>
      </c>
      <c r="F22" s="222">
        <f t="shared" si="0"/>
        <v>134</v>
      </c>
      <c r="G22" s="222">
        <f t="shared" si="0"/>
        <v>4611</v>
      </c>
      <c r="H22" s="222">
        <f t="shared" si="0"/>
        <v>66013</v>
      </c>
      <c r="I22" s="222">
        <f t="shared" si="0"/>
        <v>2282</v>
      </c>
      <c r="J22" s="222">
        <f t="shared" si="0"/>
        <v>68295</v>
      </c>
      <c r="K22" s="223"/>
    </row>
    <row r="23" spans="1:11" x14ac:dyDescent="0.2">
      <c r="I23" s="224"/>
      <c r="K23" s="224"/>
    </row>
    <row r="24" spans="1:11" x14ac:dyDescent="0.2">
      <c r="A24" s="165"/>
      <c r="B24" s="165"/>
      <c r="C24" s="165"/>
      <c r="D24" s="165"/>
      <c r="E24" s="165"/>
      <c r="F24" s="165"/>
      <c r="G24" s="165"/>
    </row>
    <row r="25" spans="1:11" x14ac:dyDescent="0.2">
      <c r="B25" s="165"/>
      <c r="C25" s="165"/>
      <c r="D25" s="165"/>
      <c r="E25" s="165"/>
      <c r="F25" s="165"/>
      <c r="G25" s="165"/>
    </row>
    <row r="26" spans="1:11" hidden="1" x14ac:dyDescent="0.2">
      <c r="D26" s="225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zoomScaleNormal="100" workbookViewId="0"/>
  </sheetViews>
  <sheetFormatPr baseColWidth="10" defaultRowHeight="15" x14ac:dyDescent="0.2"/>
  <cols>
    <col min="1" max="1" width="14.5703125" style="99" bestFit="1" customWidth="1"/>
    <col min="2" max="2" width="36.7109375" style="99" customWidth="1"/>
    <col min="3" max="4" width="18.7109375" style="99" customWidth="1"/>
    <col min="5" max="5" width="27.85546875" style="99" customWidth="1"/>
    <col min="6" max="6" width="18.7109375" style="99" customWidth="1"/>
    <col min="7" max="16384" width="11.42578125" style="99"/>
  </cols>
  <sheetData>
    <row r="1" spans="1:6" ht="18.75" x14ac:dyDescent="0.2">
      <c r="B1" s="61" t="s">
        <v>47</v>
      </c>
      <c r="C1" s="61"/>
      <c r="D1" s="61"/>
      <c r="E1" s="61"/>
      <c r="F1" s="61"/>
    </row>
    <row r="2" spans="1:6" ht="18.75" x14ac:dyDescent="0.2">
      <c r="B2" s="61" t="s">
        <v>186</v>
      </c>
      <c r="C2" s="61"/>
      <c r="D2" s="61"/>
      <c r="E2" s="61"/>
      <c r="F2" s="61"/>
    </row>
    <row r="5" spans="1:6" x14ac:dyDescent="0.2">
      <c r="A5" s="64" t="s">
        <v>129</v>
      </c>
      <c r="B5" s="65" t="s">
        <v>130</v>
      </c>
      <c r="C5" s="66"/>
      <c r="D5" s="66"/>
      <c r="E5" s="66"/>
      <c r="F5" s="67"/>
    </row>
    <row r="6" spans="1:6" x14ac:dyDescent="0.2">
      <c r="A6" s="68" t="s">
        <v>131</v>
      </c>
      <c r="B6" s="69" t="str">
        <f>couverture!D15</f>
        <v xml:space="preserve">1er juillet 2014 </v>
      </c>
      <c r="C6" s="70"/>
      <c r="D6" s="70"/>
      <c r="E6" s="70"/>
      <c r="F6" s="71"/>
    </row>
    <row r="7" spans="1:6" x14ac:dyDescent="0.2">
      <c r="A7" s="68" t="s">
        <v>132</v>
      </c>
      <c r="B7" s="69" t="s">
        <v>133</v>
      </c>
      <c r="C7" s="70"/>
      <c r="D7" s="70"/>
      <c r="E7" s="70"/>
      <c r="F7" s="71"/>
    </row>
    <row r="8" spans="1:6" x14ac:dyDescent="0.2">
      <c r="A8" s="72"/>
      <c r="B8" s="73"/>
      <c r="C8" s="73"/>
      <c r="D8" s="73"/>
      <c r="E8" s="73"/>
      <c r="F8" s="74"/>
    </row>
    <row r="11" spans="1:6" ht="25.5" x14ac:dyDescent="0.2">
      <c r="B11" s="29"/>
      <c r="C11" s="208" t="s">
        <v>141</v>
      </c>
      <c r="D11" s="208" t="s">
        <v>142</v>
      </c>
      <c r="E11" s="78" t="s">
        <v>134</v>
      </c>
      <c r="F11" s="78" t="s">
        <v>187</v>
      </c>
    </row>
    <row r="12" spans="1:6" ht="15" customHeight="1" x14ac:dyDescent="0.2">
      <c r="B12" s="182" t="s">
        <v>200</v>
      </c>
      <c r="C12" s="226">
        <v>1110</v>
      </c>
      <c r="D12" s="226">
        <v>4070</v>
      </c>
      <c r="E12" s="226">
        <f t="shared" ref="E12:E20" si="0">SUM(C12:D12)</f>
        <v>5180</v>
      </c>
      <c r="F12" s="152">
        <f t="shared" ref="F12:F20" si="1">C12/E12*100</f>
        <v>21.428571428571427</v>
      </c>
    </row>
    <row r="13" spans="1:6" ht="15" customHeight="1" x14ac:dyDescent="0.2">
      <c r="B13" s="184" t="s">
        <v>201</v>
      </c>
      <c r="C13" s="226">
        <v>1072</v>
      </c>
      <c r="D13" s="226">
        <v>3995</v>
      </c>
      <c r="E13" s="226">
        <f t="shared" si="0"/>
        <v>5067</v>
      </c>
      <c r="F13" s="152">
        <f t="shared" si="1"/>
        <v>21.156502861653838</v>
      </c>
    </row>
    <row r="14" spans="1:6" ht="15" customHeight="1" x14ac:dyDescent="0.2">
      <c r="B14" s="184" t="s">
        <v>202</v>
      </c>
      <c r="C14" s="226">
        <v>1817</v>
      </c>
      <c r="D14" s="226">
        <v>7656</v>
      </c>
      <c r="E14" s="226">
        <f t="shared" si="0"/>
        <v>9473</v>
      </c>
      <c r="F14" s="152">
        <f t="shared" si="1"/>
        <v>19.180829726591362</v>
      </c>
    </row>
    <row r="15" spans="1:6" ht="15" customHeight="1" x14ac:dyDescent="0.2">
      <c r="B15" s="184" t="s">
        <v>203</v>
      </c>
      <c r="C15" s="226">
        <v>1486</v>
      </c>
      <c r="D15" s="226">
        <v>4398</v>
      </c>
      <c r="E15" s="226">
        <f t="shared" si="0"/>
        <v>5884</v>
      </c>
      <c r="F15" s="152">
        <f t="shared" si="1"/>
        <v>25.254928619986405</v>
      </c>
    </row>
    <row r="16" spans="1:6" ht="15" customHeight="1" x14ac:dyDescent="0.2">
      <c r="B16" s="184" t="s">
        <v>204</v>
      </c>
      <c r="C16" s="226">
        <v>2164</v>
      </c>
      <c r="D16" s="226">
        <v>5756</v>
      </c>
      <c r="E16" s="226">
        <f t="shared" si="0"/>
        <v>7920</v>
      </c>
      <c r="F16" s="152">
        <f t="shared" si="1"/>
        <v>27.323232323232322</v>
      </c>
    </row>
    <row r="17" spans="2:6" ht="15" customHeight="1" x14ac:dyDescent="0.2">
      <c r="B17" s="184" t="s">
        <v>205</v>
      </c>
      <c r="C17" s="226">
        <v>4610</v>
      </c>
      <c r="D17" s="226">
        <v>8494</v>
      </c>
      <c r="E17" s="226">
        <f t="shared" si="0"/>
        <v>13104</v>
      </c>
      <c r="F17" s="152">
        <f t="shared" si="1"/>
        <v>35.180097680097681</v>
      </c>
    </row>
    <row r="18" spans="2:6" ht="15" customHeight="1" x14ac:dyDescent="0.2">
      <c r="B18" s="184" t="s">
        <v>206</v>
      </c>
      <c r="C18" s="226">
        <v>1420</v>
      </c>
      <c r="D18" s="226">
        <v>4670</v>
      </c>
      <c r="E18" s="226">
        <f t="shared" si="0"/>
        <v>6090</v>
      </c>
      <c r="F18" s="152">
        <f t="shared" si="1"/>
        <v>23.316912972085387</v>
      </c>
    </row>
    <row r="19" spans="2:6" ht="15" customHeight="1" x14ac:dyDescent="0.2">
      <c r="B19" s="184" t="s">
        <v>207</v>
      </c>
      <c r="C19" s="226">
        <v>1314</v>
      </c>
      <c r="D19" s="226">
        <v>4248</v>
      </c>
      <c r="E19" s="226">
        <f t="shared" si="0"/>
        <v>5562</v>
      </c>
      <c r="F19" s="152">
        <f t="shared" si="1"/>
        <v>23.624595469255663</v>
      </c>
    </row>
    <row r="20" spans="2:6" ht="15" customHeight="1" x14ac:dyDescent="0.2">
      <c r="B20" s="184" t="s">
        <v>208</v>
      </c>
      <c r="C20" s="226">
        <v>1644</v>
      </c>
      <c r="D20" s="226">
        <v>3760</v>
      </c>
      <c r="E20" s="226">
        <f t="shared" si="0"/>
        <v>5404</v>
      </c>
      <c r="F20" s="152">
        <f t="shared" si="1"/>
        <v>30.421909696521094</v>
      </c>
    </row>
    <row r="21" spans="2:6" ht="15" customHeight="1" x14ac:dyDescent="0.2">
      <c r="B21" s="159"/>
      <c r="C21" s="226"/>
      <c r="D21" s="226"/>
      <c r="E21" s="226"/>
      <c r="F21" s="152"/>
    </row>
    <row r="22" spans="2:6" ht="15" customHeight="1" x14ac:dyDescent="0.2">
      <c r="B22" s="160" t="s">
        <v>158</v>
      </c>
      <c r="C22" s="227">
        <f>SUM(C12:C20)</f>
        <v>16637</v>
      </c>
      <c r="D22" s="227">
        <f>SUM(D12:D20)</f>
        <v>47047</v>
      </c>
      <c r="E22" s="227">
        <f>SUM(C22:D22)</f>
        <v>63684</v>
      </c>
      <c r="F22" s="228">
        <f>C22/E22*100</f>
        <v>26.124301237359461</v>
      </c>
    </row>
    <row r="23" spans="2:6" ht="13.15" customHeight="1" x14ac:dyDescent="0.2">
      <c r="B23" s="159"/>
      <c r="C23" s="229"/>
      <c r="D23" s="229"/>
      <c r="E23" s="229"/>
      <c r="F23" s="152"/>
    </row>
    <row r="24" spans="2:6" ht="15" customHeight="1" x14ac:dyDescent="0.2">
      <c r="B24" s="162" t="s">
        <v>137</v>
      </c>
      <c r="C24" s="226">
        <v>1136</v>
      </c>
      <c r="D24" s="226">
        <v>3475</v>
      </c>
      <c r="E24" s="226">
        <f>SUM(C24:D24)</f>
        <v>4611</v>
      </c>
      <c r="F24" s="152">
        <f>C24/E24*100</f>
        <v>24.636738234656256</v>
      </c>
    </row>
    <row r="25" spans="2:6" ht="12" customHeight="1" x14ac:dyDescent="0.2">
      <c r="B25" s="162"/>
      <c r="C25" s="226"/>
      <c r="D25" s="226"/>
      <c r="E25" s="226"/>
      <c r="F25" s="152"/>
    </row>
    <row r="26" spans="2:6" ht="10.9" customHeight="1" x14ac:dyDescent="0.2">
      <c r="B26" s="159"/>
      <c r="C26" s="226"/>
      <c r="D26" s="226"/>
      <c r="E26" s="226"/>
      <c r="F26" s="230"/>
    </row>
    <row r="27" spans="2:6" ht="15" customHeight="1" x14ac:dyDescent="0.2">
      <c r="B27" s="164" t="s">
        <v>138</v>
      </c>
      <c r="C27" s="231">
        <f>SUM(C24:C25,C22)</f>
        <v>17773</v>
      </c>
      <c r="D27" s="231">
        <f>SUM(D24:D25,D22)</f>
        <v>50522</v>
      </c>
      <c r="E27" s="231">
        <f>SUM(E24:E25,E22)</f>
        <v>68295</v>
      </c>
      <c r="F27" s="232">
        <f>C27/E27*100</f>
        <v>26.023867047368039</v>
      </c>
    </row>
    <row r="29" spans="2:6" x14ac:dyDescent="0.2">
      <c r="B29" s="179"/>
      <c r="C29" s="165"/>
      <c r="D29" s="165"/>
      <c r="E29" s="165"/>
      <c r="F29" s="165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zoomScale="80" zoomScaleNormal="80" workbookViewId="0"/>
  </sheetViews>
  <sheetFormatPr baseColWidth="10" defaultRowHeight="15" x14ac:dyDescent="0.2"/>
  <cols>
    <col min="1" max="1" width="14.5703125" style="99" bestFit="1" customWidth="1"/>
    <col min="2" max="2" width="5.7109375" style="99" customWidth="1"/>
    <col min="3" max="3" width="33.140625" style="99" customWidth="1"/>
    <col min="4" max="4" width="18.7109375" style="99" customWidth="1"/>
    <col min="5" max="5" width="17.85546875" style="99" customWidth="1"/>
    <col min="6" max="6" width="26.5703125" style="99" customWidth="1"/>
    <col min="7" max="7" width="18.7109375" style="99" customWidth="1"/>
    <col min="8" max="8" width="4.7109375" style="99" customWidth="1"/>
    <col min="9" max="16384" width="11.42578125" style="99"/>
  </cols>
  <sheetData>
    <row r="1" spans="1:7" ht="18.75" x14ac:dyDescent="0.2">
      <c r="B1" s="61" t="s">
        <v>50</v>
      </c>
      <c r="C1" s="61"/>
      <c r="D1" s="61"/>
      <c r="E1" s="61"/>
    </row>
    <row r="2" spans="1:7" ht="18.75" x14ac:dyDescent="0.2">
      <c r="B2" s="61" t="s">
        <v>188</v>
      </c>
      <c r="C2" s="61"/>
      <c r="D2" s="61"/>
      <c r="E2" s="61"/>
      <c r="F2" s="61" t="s">
        <v>293</v>
      </c>
      <c r="G2" s="61"/>
    </row>
    <row r="3" spans="1:7" ht="9" customHeight="1" x14ac:dyDescent="0.2"/>
    <row r="4" spans="1:7" s="29" customFormat="1" x14ac:dyDescent="0.2">
      <c r="A4" s="64" t="s">
        <v>131</v>
      </c>
      <c r="B4" s="65" t="str">
        <f>couverture!D15</f>
        <v xml:space="preserve">1er juillet 2014 </v>
      </c>
      <c r="C4" s="66"/>
      <c r="D4" s="66"/>
      <c r="E4" s="66"/>
      <c r="F4" s="66"/>
      <c r="G4" s="205"/>
    </row>
    <row r="5" spans="1:7" x14ac:dyDescent="0.2">
      <c r="A5" s="68" t="s">
        <v>132</v>
      </c>
      <c r="B5" s="69" t="s">
        <v>133</v>
      </c>
      <c r="C5" s="70"/>
      <c r="D5" s="70"/>
      <c r="E5" s="70"/>
      <c r="F5" s="71"/>
      <c r="G5" s="71"/>
    </row>
    <row r="6" spans="1:7" x14ac:dyDescent="0.2">
      <c r="A6" s="68" t="s">
        <v>151</v>
      </c>
      <c r="B6" s="69" t="str">
        <f>couverture!D15</f>
        <v xml:space="preserve">1er juillet 2014 </v>
      </c>
      <c r="C6" s="70"/>
      <c r="D6" s="70"/>
      <c r="E6" s="70"/>
      <c r="F6" s="71"/>
      <c r="G6" s="71"/>
    </row>
    <row r="7" spans="1:7" ht="9" customHeight="1" x14ac:dyDescent="0.2">
      <c r="B7" s="180" t="s">
        <v>170</v>
      </c>
      <c r="C7" s="180"/>
    </row>
    <row r="8" spans="1:7" ht="25.5" x14ac:dyDescent="0.2">
      <c r="B8" s="29"/>
      <c r="C8" s="29"/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B9" s="233" t="s">
        <v>294</v>
      </c>
      <c r="C9" s="234" t="s">
        <v>304</v>
      </c>
      <c r="D9" s="240">
        <v>146</v>
      </c>
      <c r="E9" s="240">
        <v>146</v>
      </c>
      <c r="F9" s="240">
        <v>157</v>
      </c>
      <c r="G9" s="241">
        <f t="shared" ref="G9" si="0">IF(E9=0,0,F9/E9*100)</f>
        <v>107.53424657534248</v>
      </c>
    </row>
    <row r="10" spans="1:7" x14ac:dyDescent="0.2">
      <c r="A10"/>
      <c r="B10" s="162" t="s">
        <v>294</v>
      </c>
      <c r="C10" s="236" t="s">
        <v>305</v>
      </c>
      <c r="D10" s="235">
        <v>238</v>
      </c>
      <c r="E10" s="235">
        <v>234</v>
      </c>
      <c r="F10" s="235">
        <v>189</v>
      </c>
      <c r="G10" s="154">
        <f t="shared" ref="G10:G37" si="1">IF(E10=0,0,F10/E10*100)</f>
        <v>80.769230769230774</v>
      </c>
    </row>
    <row r="11" spans="1:7" x14ac:dyDescent="0.2">
      <c r="A11"/>
      <c r="B11" s="162" t="s">
        <v>294</v>
      </c>
      <c r="C11" s="236" t="s">
        <v>306</v>
      </c>
      <c r="D11" s="235">
        <v>75</v>
      </c>
      <c r="E11" s="235">
        <v>75</v>
      </c>
      <c r="F11" s="235">
        <v>103</v>
      </c>
      <c r="G11" s="154">
        <f t="shared" si="1"/>
        <v>137.33333333333334</v>
      </c>
    </row>
    <row r="12" spans="1:7" x14ac:dyDescent="0.2">
      <c r="A12"/>
      <c r="B12" s="162" t="s">
        <v>294</v>
      </c>
      <c r="C12" s="236" t="s">
        <v>307</v>
      </c>
      <c r="D12" s="235">
        <v>37</v>
      </c>
      <c r="E12" s="235">
        <v>37</v>
      </c>
      <c r="F12" s="235">
        <v>36</v>
      </c>
      <c r="G12" s="154">
        <f t="shared" si="1"/>
        <v>97.297297297297305</v>
      </c>
    </row>
    <row r="13" spans="1:7" x14ac:dyDescent="0.2">
      <c r="A13"/>
      <c r="B13" s="162" t="s">
        <v>294</v>
      </c>
      <c r="C13" s="236" t="s">
        <v>308</v>
      </c>
      <c r="D13" s="235">
        <v>85</v>
      </c>
      <c r="E13" s="235">
        <v>85</v>
      </c>
      <c r="F13" s="235">
        <v>118</v>
      </c>
      <c r="G13" s="154">
        <f t="shared" si="1"/>
        <v>138.8235294117647</v>
      </c>
    </row>
    <row r="14" spans="1:7" x14ac:dyDescent="0.2">
      <c r="A14"/>
      <c r="B14" s="162" t="s">
        <v>294</v>
      </c>
      <c r="C14" s="236" t="s">
        <v>309</v>
      </c>
      <c r="D14" s="235">
        <v>66</v>
      </c>
      <c r="E14" s="235">
        <v>66</v>
      </c>
      <c r="F14" s="235">
        <v>86</v>
      </c>
      <c r="G14" s="154">
        <f t="shared" si="1"/>
        <v>130.30303030303031</v>
      </c>
    </row>
    <row r="15" spans="1:7" x14ac:dyDescent="0.2">
      <c r="A15"/>
      <c r="B15" s="162" t="s">
        <v>294</v>
      </c>
      <c r="C15" s="236" t="s">
        <v>310</v>
      </c>
      <c r="D15" s="235">
        <v>266</v>
      </c>
      <c r="E15" s="235">
        <v>266</v>
      </c>
      <c r="F15" s="235">
        <v>229</v>
      </c>
      <c r="G15" s="154">
        <f t="shared" si="1"/>
        <v>86.090225563909769</v>
      </c>
    </row>
    <row r="16" spans="1:7" x14ac:dyDescent="0.2">
      <c r="A16"/>
      <c r="B16" s="162" t="s">
        <v>294</v>
      </c>
      <c r="C16" s="236" t="s">
        <v>311</v>
      </c>
      <c r="D16" s="235">
        <v>91</v>
      </c>
      <c r="E16" s="235">
        <v>91</v>
      </c>
      <c r="F16" s="235">
        <v>93</v>
      </c>
      <c r="G16" s="154">
        <f t="shared" si="1"/>
        <v>102.19780219780219</v>
      </c>
    </row>
    <row r="17" spans="1:7" x14ac:dyDescent="0.2">
      <c r="A17"/>
      <c r="B17" s="162" t="s">
        <v>294</v>
      </c>
      <c r="C17" s="236" t="s">
        <v>312</v>
      </c>
      <c r="D17" s="235">
        <v>51</v>
      </c>
      <c r="E17" s="235">
        <v>51</v>
      </c>
      <c r="F17" s="235">
        <v>78</v>
      </c>
      <c r="G17" s="154">
        <f t="shared" si="1"/>
        <v>152.94117647058823</v>
      </c>
    </row>
    <row r="18" spans="1:7" x14ac:dyDescent="0.2">
      <c r="A18"/>
      <c r="B18" s="162" t="s">
        <v>294</v>
      </c>
      <c r="C18" s="236" t="s">
        <v>313</v>
      </c>
      <c r="D18" s="235">
        <v>83</v>
      </c>
      <c r="E18" s="235">
        <v>60</v>
      </c>
      <c r="F18" s="235">
        <v>84</v>
      </c>
      <c r="G18" s="154">
        <f t="shared" si="1"/>
        <v>140</v>
      </c>
    </row>
    <row r="19" spans="1:7" x14ac:dyDescent="0.2">
      <c r="A19"/>
      <c r="B19" s="162" t="s">
        <v>294</v>
      </c>
      <c r="C19" s="236" t="s">
        <v>314</v>
      </c>
      <c r="D19" s="235">
        <v>47</v>
      </c>
      <c r="E19" s="235">
        <v>47</v>
      </c>
      <c r="F19" s="235">
        <v>67</v>
      </c>
      <c r="G19" s="154">
        <f t="shared" si="1"/>
        <v>142.55319148936169</v>
      </c>
    </row>
    <row r="20" spans="1:7" x14ac:dyDescent="0.2">
      <c r="A20"/>
      <c r="B20" s="162" t="s">
        <v>295</v>
      </c>
      <c r="C20" s="236" t="s">
        <v>315</v>
      </c>
      <c r="D20" s="235">
        <v>366</v>
      </c>
      <c r="E20" s="235">
        <v>365</v>
      </c>
      <c r="F20" s="235">
        <v>612</v>
      </c>
      <c r="G20" s="154">
        <f t="shared" si="1"/>
        <v>167.67123287671234</v>
      </c>
    </row>
    <row r="21" spans="1:7" x14ac:dyDescent="0.2">
      <c r="A21"/>
      <c r="B21" s="162" t="s">
        <v>295</v>
      </c>
      <c r="C21" s="236" t="s">
        <v>316</v>
      </c>
      <c r="D21" s="235">
        <v>333</v>
      </c>
      <c r="E21" s="235">
        <v>333</v>
      </c>
      <c r="F21" s="235">
        <v>233</v>
      </c>
      <c r="G21" s="154">
        <f t="shared" si="1"/>
        <v>69.969969969969966</v>
      </c>
    </row>
    <row r="22" spans="1:7" x14ac:dyDescent="0.2">
      <c r="A22"/>
      <c r="B22" s="162" t="s">
        <v>295</v>
      </c>
      <c r="C22" s="236" t="s">
        <v>317</v>
      </c>
      <c r="D22" s="235">
        <v>305</v>
      </c>
      <c r="E22" s="235">
        <v>305</v>
      </c>
      <c r="F22" s="235">
        <v>336</v>
      </c>
      <c r="G22" s="154">
        <f t="shared" si="1"/>
        <v>110.16393442622952</v>
      </c>
    </row>
    <row r="23" spans="1:7" x14ac:dyDescent="0.2">
      <c r="A23"/>
      <c r="B23" s="246" t="s">
        <v>296</v>
      </c>
      <c r="C23" s="247"/>
      <c r="D23" s="248">
        <v>2189</v>
      </c>
      <c r="E23" s="248">
        <v>2161</v>
      </c>
      <c r="F23" s="248">
        <v>2421</v>
      </c>
      <c r="G23" s="249">
        <f t="shared" si="1"/>
        <v>112.03146691346599</v>
      </c>
    </row>
    <row r="24" spans="1:7" x14ac:dyDescent="0.2">
      <c r="A24"/>
      <c r="B24" s="242" t="s">
        <v>297</v>
      </c>
      <c r="C24" s="243" t="s">
        <v>318</v>
      </c>
      <c r="D24" s="244">
        <v>214</v>
      </c>
      <c r="E24" s="244">
        <v>214</v>
      </c>
      <c r="F24" s="244">
        <v>155</v>
      </c>
      <c r="G24" s="245">
        <f t="shared" si="1"/>
        <v>72.429906542056074</v>
      </c>
    </row>
    <row r="25" spans="1:7" x14ac:dyDescent="0.2">
      <c r="A25"/>
      <c r="B25" s="162" t="s">
        <v>297</v>
      </c>
      <c r="C25" s="236" t="s">
        <v>319</v>
      </c>
      <c r="D25" s="235">
        <v>294</v>
      </c>
      <c r="E25" s="235">
        <v>279</v>
      </c>
      <c r="F25" s="235">
        <v>245</v>
      </c>
      <c r="G25" s="154">
        <f t="shared" si="1"/>
        <v>87.813620071684582</v>
      </c>
    </row>
    <row r="26" spans="1:7" x14ac:dyDescent="0.2">
      <c r="A26"/>
      <c r="B26" s="162" t="s">
        <v>297</v>
      </c>
      <c r="C26" s="236" t="s">
        <v>320</v>
      </c>
      <c r="D26" s="235">
        <v>369</v>
      </c>
      <c r="E26" s="235">
        <v>369</v>
      </c>
      <c r="F26" s="235">
        <v>344</v>
      </c>
      <c r="G26" s="154">
        <f t="shared" si="1"/>
        <v>93.224932249322492</v>
      </c>
    </row>
    <row r="27" spans="1:7" x14ac:dyDescent="0.2">
      <c r="A27"/>
      <c r="B27" s="162" t="s">
        <v>297</v>
      </c>
      <c r="C27" s="236" t="s">
        <v>321</v>
      </c>
      <c r="D27" s="235">
        <v>398</v>
      </c>
      <c r="E27" s="235">
        <v>398</v>
      </c>
      <c r="F27" s="235">
        <v>361</v>
      </c>
      <c r="G27" s="154">
        <f t="shared" si="1"/>
        <v>90.7035175879397</v>
      </c>
    </row>
    <row r="28" spans="1:7" x14ac:dyDescent="0.2">
      <c r="A28"/>
      <c r="B28" s="162" t="s">
        <v>297</v>
      </c>
      <c r="C28" s="236" t="s">
        <v>322</v>
      </c>
      <c r="D28" s="235">
        <v>594</v>
      </c>
      <c r="E28" s="235">
        <v>590</v>
      </c>
      <c r="F28" s="235">
        <v>559</v>
      </c>
      <c r="G28" s="154">
        <f t="shared" si="1"/>
        <v>94.745762711864415</v>
      </c>
    </row>
    <row r="29" spans="1:7" x14ac:dyDescent="0.2">
      <c r="A29"/>
      <c r="B29" s="162" t="s">
        <v>298</v>
      </c>
      <c r="C29" s="236" t="s">
        <v>316</v>
      </c>
      <c r="D29" s="235">
        <v>368</v>
      </c>
      <c r="E29" s="235">
        <v>368</v>
      </c>
      <c r="F29" s="235">
        <v>361</v>
      </c>
      <c r="G29" s="154">
        <f t="shared" si="1"/>
        <v>98.097826086956516</v>
      </c>
    </row>
    <row r="30" spans="1:7" x14ac:dyDescent="0.2">
      <c r="A30"/>
      <c r="B30" s="162" t="s">
        <v>298</v>
      </c>
      <c r="C30" s="236" t="s">
        <v>317</v>
      </c>
      <c r="D30" s="235">
        <v>271</v>
      </c>
      <c r="E30" s="235">
        <v>271</v>
      </c>
      <c r="F30" s="235">
        <v>263</v>
      </c>
      <c r="G30" s="154">
        <f t="shared" si="1"/>
        <v>97.047970479704787</v>
      </c>
    </row>
    <row r="31" spans="1:7" x14ac:dyDescent="0.2">
      <c r="A31"/>
      <c r="B31" s="162" t="s">
        <v>299</v>
      </c>
      <c r="C31" s="236" t="s">
        <v>323</v>
      </c>
      <c r="D31" s="235">
        <v>500</v>
      </c>
      <c r="E31" s="235">
        <v>460</v>
      </c>
      <c r="F31" s="235">
        <v>393</v>
      </c>
      <c r="G31" s="154">
        <f t="shared" si="1"/>
        <v>85.434782608695642</v>
      </c>
    </row>
    <row r="32" spans="1:7" x14ac:dyDescent="0.2">
      <c r="A32"/>
      <c r="B32" s="162" t="s">
        <v>300</v>
      </c>
      <c r="C32" s="236" t="s">
        <v>315</v>
      </c>
      <c r="D32" s="235">
        <v>82</v>
      </c>
      <c r="E32" s="235">
        <v>82</v>
      </c>
      <c r="F32" s="235">
        <v>67</v>
      </c>
      <c r="G32" s="154">
        <f t="shared" si="1"/>
        <v>81.707317073170728</v>
      </c>
    </row>
    <row r="33" spans="1:7" x14ac:dyDescent="0.2">
      <c r="A33"/>
      <c r="B33" s="162" t="s">
        <v>300</v>
      </c>
      <c r="C33" s="236" t="s">
        <v>317</v>
      </c>
      <c r="D33" s="235">
        <v>27</v>
      </c>
      <c r="E33" s="235">
        <v>27</v>
      </c>
      <c r="F33" s="235">
        <v>2</v>
      </c>
      <c r="G33" s="154">
        <f t="shared" si="1"/>
        <v>7.4074074074074066</v>
      </c>
    </row>
    <row r="34" spans="1:7" x14ac:dyDescent="0.2">
      <c r="A34"/>
      <c r="B34" s="162" t="s">
        <v>301</v>
      </c>
      <c r="C34" s="236" t="s">
        <v>316</v>
      </c>
      <c r="D34" s="235">
        <v>19</v>
      </c>
      <c r="E34" s="235">
        <v>19</v>
      </c>
      <c r="F34" s="235">
        <v>2</v>
      </c>
      <c r="G34" s="154">
        <f t="shared" si="1"/>
        <v>10.526315789473683</v>
      </c>
    </row>
    <row r="35" spans="1:7" x14ac:dyDescent="0.2">
      <c r="A35"/>
      <c r="B35" s="162" t="s">
        <v>301</v>
      </c>
      <c r="C35" s="236" t="s">
        <v>317</v>
      </c>
      <c r="D35" s="235">
        <v>30</v>
      </c>
      <c r="E35" s="235">
        <v>30</v>
      </c>
      <c r="F35" s="235">
        <v>7</v>
      </c>
      <c r="G35" s="154">
        <f t="shared" si="1"/>
        <v>23.333333333333332</v>
      </c>
    </row>
    <row r="36" spans="1:7" x14ac:dyDescent="0.2">
      <c r="A36"/>
      <c r="B36" s="246" t="s">
        <v>302</v>
      </c>
      <c r="C36" s="247"/>
      <c r="D36" s="248">
        <v>3166</v>
      </c>
      <c r="E36" s="248">
        <v>3107</v>
      </c>
      <c r="F36" s="248">
        <v>2759</v>
      </c>
      <c r="G36" s="249">
        <f t="shared" si="1"/>
        <v>88.799485033794653</v>
      </c>
    </row>
    <row r="37" spans="1:7" x14ac:dyDescent="0.2">
      <c r="A37"/>
      <c r="B37" s="246" t="s">
        <v>303</v>
      </c>
      <c r="C37" s="247"/>
      <c r="D37" s="248">
        <v>5355</v>
      </c>
      <c r="E37" s="248">
        <v>5268</v>
      </c>
      <c r="F37" s="248">
        <v>5180</v>
      </c>
      <c r="G37" s="249">
        <f t="shared" si="1"/>
        <v>98.329536826119963</v>
      </c>
    </row>
    <row r="38" spans="1:7" x14ac:dyDescent="0.2">
      <c r="A38"/>
      <c r="B38" s="250" t="s">
        <v>179</v>
      </c>
      <c r="C38" s="251"/>
      <c r="D38" s="251"/>
      <c r="E38" s="251"/>
      <c r="F38" s="251"/>
      <c r="G38" s="251"/>
    </row>
    <row r="39" spans="1:7" x14ac:dyDescent="0.2">
      <c r="A39"/>
      <c r="B39" s="252" t="s">
        <v>189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>&amp;LStatistiques mensuelles
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zoomScale="80" zoomScaleNormal="8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99"/>
      <c r="B1" s="61" t="s">
        <v>53</v>
      </c>
      <c r="C1" s="61"/>
      <c r="D1" s="61"/>
      <c r="E1" s="61"/>
    </row>
    <row r="2" spans="1:7" ht="18.75" x14ac:dyDescent="0.2">
      <c r="A2" s="99"/>
      <c r="B2" s="61" t="s">
        <v>188</v>
      </c>
      <c r="C2" s="61"/>
      <c r="D2" s="61"/>
      <c r="E2" s="61"/>
      <c r="F2" s="61" t="s">
        <v>324</v>
      </c>
      <c r="G2" s="61"/>
    </row>
    <row r="3" spans="1:7" ht="9" customHeight="1" x14ac:dyDescent="0.2">
      <c r="A3" s="99"/>
      <c r="B3" s="99"/>
      <c r="C3" s="99"/>
      <c r="D3" s="99"/>
      <c r="E3" s="99"/>
    </row>
    <row r="4" spans="1:7" ht="15" x14ac:dyDescent="0.2">
      <c r="A4" s="64" t="s">
        <v>131</v>
      </c>
      <c r="B4" s="65" t="str">
        <f>couverture!D15</f>
        <v xml:space="preserve">1er juillet 2014 </v>
      </c>
      <c r="C4" s="66"/>
      <c r="D4" s="66"/>
      <c r="E4" s="66"/>
      <c r="F4" s="66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70"/>
      <c r="G5" s="206"/>
    </row>
    <row r="6" spans="1:7" ht="15" x14ac:dyDescent="0.2">
      <c r="A6" s="68" t="s">
        <v>151</v>
      </c>
      <c r="B6" s="69" t="str">
        <f>couverture!D15</f>
        <v xml:space="preserve">1er juillet 2014 </v>
      </c>
      <c r="C6" s="70"/>
      <c r="D6" s="70"/>
      <c r="E6" s="70"/>
      <c r="F6" s="70"/>
      <c r="G6" s="206"/>
    </row>
    <row r="7" spans="1:7" ht="9" customHeight="1" x14ac:dyDescent="0.2">
      <c r="B7" s="180" t="s">
        <v>152</v>
      </c>
    </row>
    <row r="8" spans="1:7" ht="50.25" customHeight="1" x14ac:dyDescent="0.2"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ht="14.25" customHeight="1" x14ac:dyDescent="0.2">
      <c r="B9" s="233" t="s">
        <v>294</v>
      </c>
      <c r="C9" s="233" t="s">
        <v>326</v>
      </c>
      <c r="D9" s="240">
        <v>88</v>
      </c>
      <c r="E9" s="240">
        <v>88</v>
      </c>
      <c r="F9" s="240">
        <v>169</v>
      </c>
      <c r="G9" s="241">
        <f t="shared" ref="G9" si="0">IF(E9=0,0,F9/E9*100)</f>
        <v>192.04545454545453</v>
      </c>
    </row>
    <row r="10" spans="1:7" ht="14.25" customHeight="1" x14ac:dyDescent="0.2">
      <c r="A10"/>
      <c r="B10" s="162" t="s">
        <v>294</v>
      </c>
      <c r="C10" s="162" t="s">
        <v>327</v>
      </c>
      <c r="D10" s="235">
        <v>114</v>
      </c>
      <c r="E10" s="235">
        <v>114</v>
      </c>
      <c r="F10" s="235">
        <v>117</v>
      </c>
      <c r="G10" s="154">
        <f t="shared" ref="G10:G34" si="1">IF(E10=0,0,F10/E10*100)</f>
        <v>102.63157894736842</v>
      </c>
    </row>
    <row r="11" spans="1:7" ht="14.25" customHeight="1" x14ac:dyDescent="0.2">
      <c r="A11"/>
      <c r="B11" s="162" t="s">
        <v>294</v>
      </c>
      <c r="C11" s="162" t="s">
        <v>328</v>
      </c>
      <c r="D11" s="235">
        <v>116</v>
      </c>
      <c r="E11" s="235">
        <v>116</v>
      </c>
      <c r="F11" s="235">
        <v>143</v>
      </c>
      <c r="G11" s="154">
        <f t="shared" si="1"/>
        <v>123.27586206896552</v>
      </c>
    </row>
    <row r="12" spans="1:7" ht="14.25" customHeight="1" x14ac:dyDescent="0.2">
      <c r="A12"/>
      <c r="B12" s="162" t="s">
        <v>294</v>
      </c>
      <c r="C12" s="162" t="s">
        <v>329</v>
      </c>
      <c r="D12" s="235">
        <v>313</v>
      </c>
      <c r="E12" s="235">
        <v>313</v>
      </c>
      <c r="F12" s="235">
        <v>344</v>
      </c>
      <c r="G12" s="154">
        <f t="shared" si="1"/>
        <v>109.9041533546326</v>
      </c>
    </row>
    <row r="13" spans="1:7" ht="14.25" customHeight="1" x14ac:dyDescent="0.2">
      <c r="A13"/>
      <c r="B13" s="162" t="s">
        <v>294</v>
      </c>
      <c r="C13" s="162" t="s">
        <v>330</v>
      </c>
      <c r="D13" s="235">
        <v>59</v>
      </c>
      <c r="E13" s="235">
        <v>59</v>
      </c>
      <c r="F13" s="235">
        <v>55</v>
      </c>
      <c r="G13" s="154">
        <f t="shared" si="1"/>
        <v>93.220338983050837</v>
      </c>
    </row>
    <row r="14" spans="1:7" ht="14.25" customHeight="1" x14ac:dyDescent="0.2">
      <c r="A14"/>
      <c r="B14" s="162" t="s">
        <v>294</v>
      </c>
      <c r="C14" s="162" t="s">
        <v>331</v>
      </c>
      <c r="D14" s="235">
        <v>112</v>
      </c>
      <c r="E14" s="235">
        <v>112</v>
      </c>
      <c r="F14" s="235">
        <v>129</v>
      </c>
      <c r="G14" s="154">
        <f t="shared" si="1"/>
        <v>115.17857142857142</v>
      </c>
    </row>
    <row r="15" spans="1:7" ht="14.25" customHeight="1" x14ac:dyDescent="0.2">
      <c r="A15"/>
      <c r="B15" s="162" t="s">
        <v>294</v>
      </c>
      <c r="C15" s="162" t="s">
        <v>332</v>
      </c>
      <c r="D15" s="235">
        <v>78</v>
      </c>
      <c r="E15" s="235">
        <v>78</v>
      </c>
      <c r="F15" s="235">
        <v>100</v>
      </c>
      <c r="G15" s="154">
        <f t="shared" si="1"/>
        <v>128.2051282051282</v>
      </c>
    </row>
    <row r="16" spans="1:7" ht="14.25" customHeight="1" x14ac:dyDescent="0.2">
      <c r="A16"/>
      <c r="B16" s="162" t="s">
        <v>294</v>
      </c>
      <c r="C16" s="162" t="s">
        <v>201</v>
      </c>
      <c r="D16" s="235">
        <v>185</v>
      </c>
      <c r="E16" s="235">
        <v>185</v>
      </c>
      <c r="F16" s="235">
        <v>265</v>
      </c>
      <c r="G16" s="154">
        <f t="shared" si="1"/>
        <v>143.24324324324326</v>
      </c>
    </row>
    <row r="17" spans="1:7" ht="14.25" customHeight="1" x14ac:dyDescent="0.2">
      <c r="A17"/>
      <c r="B17" s="162" t="s">
        <v>294</v>
      </c>
      <c r="C17" s="162" t="s">
        <v>333</v>
      </c>
      <c r="D17" s="235">
        <v>118</v>
      </c>
      <c r="E17" s="235">
        <v>118</v>
      </c>
      <c r="F17" s="235">
        <v>111</v>
      </c>
      <c r="G17" s="154">
        <f t="shared" si="1"/>
        <v>94.067796610169495</v>
      </c>
    </row>
    <row r="18" spans="1:7" ht="14.25" customHeight="1" x14ac:dyDescent="0.2">
      <c r="A18"/>
      <c r="B18" s="162" t="s">
        <v>294</v>
      </c>
      <c r="C18" s="162" t="s">
        <v>334</v>
      </c>
      <c r="D18" s="235">
        <v>105</v>
      </c>
      <c r="E18" s="235">
        <v>105</v>
      </c>
      <c r="F18" s="235">
        <v>280</v>
      </c>
      <c r="G18" s="154">
        <f t="shared" si="1"/>
        <v>266.66666666666663</v>
      </c>
    </row>
    <row r="19" spans="1:7" ht="14.25" customHeight="1" x14ac:dyDescent="0.2">
      <c r="A19"/>
      <c r="B19" s="162" t="s">
        <v>294</v>
      </c>
      <c r="C19" s="162" t="s">
        <v>335</v>
      </c>
      <c r="D19" s="235">
        <v>154</v>
      </c>
      <c r="E19" s="235">
        <v>154</v>
      </c>
      <c r="F19" s="235">
        <v>154</v>
      </c>
      <c r="G19" s="154">
        <f t="shared" si="1"/>
        <v>100</v>
      </c>
    </row>
    <row r="20" spans="1:7" ht="14.25" customHeight="1" x14ac:dyDescent="0.2">
      <c r="A20"/>
      <c r="B20" s="162" t="s">
        <v>294</v>
      </c>
      <c r="C20" s="162" t="s">
        <v>336</v>
      </c>
      <c r="D20" s="235">
        <v>145</v>
      </c>
      <c r="E20" s="235">
        <v>145</v>
      </c>
      <c r="F20" s="235">
        <v>209</v>
      </c>
      <c r="G20" s="154">
        <f t="shared" si="1"/>
        <v>144.13793103448276</v>
      </c>
    </row>
    <row r="21" spans="1:7" ht="14.25" customHeight="1" x14ac:dyDescent="0.2">
      <c r="A21"/>
      <c r="B21" s="162" t="s">
        <v>294</v>
      </c>
      <c r="C21" s="162" t="s">
        <v>337</v>
      </c>
      <c r="D21" s="235">
        <v>116</v>
      </c>
      <c r="E21" s="235">
        <v>116</v>
      </c>
      <c r="F21" s="235">
        <v>166</v>
      </c>
      <c r="G21" s="154">
        <f t="shared" si="1"/>
        <v>143.10344827586206</v>
      </c>
    </row>
    <row r="22" spans="1:7" ht="14.25" customHeight="1" x14ac:dyDescent="0.2">
      <c r="A22"/>
      <c r="B22" s="162" t="s">
        <v>295</v>
      </c>
      <c r="C22" s="162" t="s">
        <v>338</v>
      </c>
      <c r="D22" s="235">
        <v>105</v>
      </c>
      <c r="E22" s="235">
        <v>105</v>
      </c>
      <c r="F22" s="235">
        <v>106</v>
      </c>
      <c r="G22" s="154">
        <f t="shared" si="1"/>
        <v>100.95238095238095</v>
      </c>
    </row>
    <row r="23" spans="1:7" ht="14.25" customHeight="1" x14ac:dyDescent="0.2">
      <c r="A23"/>
      <c r="B23" s="162" t="s">
        <v>295</v>
      </c>
      <c r="C23" s="162" t="s">
        <v>339</v>
      </c>
      <c r="D23" s="235">
        <v>193</v>
      </c>
      <c r="E23" s="235">
        <v>193</v>
      </c>
      <c r="F23" s="235">
        <v>250</v>
      </c>
      <c r="G23" s="154">
        <f t="shared" si="1"/>
        <v>129.53367875647669</v>
      </c>
    </row>
    <row r="24" spans="1:7" ht="14.25" customHeight="1" x14ac:dyDescent="0.2">
      <c r="A24"/>
      <c r="B24" s="246" t="s">
        <v>296</v>
      </c>
      <c r="C24" s="246"/>
      <c r="D24" s="248">
        <v>2001</v>
      </c>
      <c r="E24" s="248">
        <v>2001</v>
      </c>
      <c r="F24" s="248">
        <v>2598</v>
      </c>
      <c r="G24" s="249">
        <f t="shared" si="1"/>
        <v>129.83508245877061</v>
      </c>
    </row>
    <row r="25" spans="1:7" ht="14.25" customHeight="1" x14ac:dyDescent="0.2">
      <c r="A25"/>
      <c r="B25" s="242" t="s">
        <v>297</v>
      </c>
      <c r="C25" s="242" t="s">
        <v>340</v>
      </c>
      <c r="D25" s="244">
        <v>597</v>
      </c>
      <c r="E25" s="244">
        <v>597</v>
      </c>
      <c r="F25" s="244">
        <v>548</v>
      </c>
      <c r="G25" s="245">
        <f t="shared" si="1"/>
        <v>91.792294807370183</v>
      </c>
    </row>
    <row r="26" spans="1:7" ht="14.25" customHeight="1" x14ac:dyDescent="0.2">
      <c r="A26"/>
      <c r="B26" s="162" t="s">
        <v>297</v>
      </c>
      <c r="C26" s="162" t="s">
        <v>341</v>
      </c>
      <c r="D26" s="235">
        <v>602</v>
      </c>
      <c r="E26" s="235">
        <v>602</v>
      </c>
      <c r="F26" s="235">
        <v>567</v>
      </c>
      <c r="G26" s="154">
        <f t="shared" si="1"/>
        <v>94.186046511627907</v>
      </c>
    </row>
    <row r="27" spans="1:7" ht="14.25" customHeight="1" x14ac:dyDescent="0.2">
      <c r="A27"/>
      <c r="B27" s="162" t="s">
        <v>297</v>
      </c>
      <c r="C27" s="162" t="s">
        <v>342</v>
      </c>
      <c r="D27" s="235">
        <v>606</v>
      </c>
      <c r="E27" s="235">
        <v>606</v>
      </c>
      <c r="F27" s="235">
        <v>562</v>
      </c>
      <c r="G27" s="154">
        <f t="shared" si="1"/>
        <v>92.739273927392745</v>
      </c>
    </row>
    <row r="28" spans="1:7" ht="14.25" customHeight="1" x14ac:dyDescent="0.2">
      <c r="A28"/>
      <c r="B28" s="162" t="s">
        <v>298</v>
      </c>
      <c r="C28" s="162" t="s">
        <v>338</v>
      </c>
      <c r="D28" s="235">
        <v>270</v>
      </c>
      <c r="E28" s="235">
        <v>257</v>
      </c>
      <c r="F28" s="235">
        <v>240</v>
      </c>
      <c r="G28" s="154">
        <f t="shared" si="1"/>
        <v>93.385214007782096</v>
      </c>
    </row>
    <row r="29" spans="1:7" ht="14.25" customHeight="1" x14ac:dyDescent="0.2">
      <c r="A29"/>
      <c r="B29" s="162" t="s">
        <v>298</v>
      </c>
      <c r="C29" s="162" t="s">
        <v>339</v>
      </c>
      <c r="D29" s="235">
        <v>191</v>
      </c>
      <c r="E29" s="235">
        <v>191</v>
      </c>
      <c r="F29" s="235">
        <v>181</v>
      </c>
      <c r="G29" s="154">
        <f t="shared" si="1"/>
        <v>94.764397905759154</v>
      </c>
    </row>
    <row r="30" spans="1:7" ht="14.25" customHeight="1" x14ac:dyDescent="0.2">
      <c r="A30"/>
      <c r="B30" s="162" t="s">
        <v>299</v>
      </c>
      <c r="C30" s="162" t="s">
        <v>343</v>
      </c>
      <c r="D30" s="235">
        <v>238</v>
      </c>
      <c r="E30" s="235">
        <v>209</v>
      </c>
      <c r="F30" s="235">
        <v>148</v>
      </c>
      <c r="G30" s="154">
        <f t="shared" si="1"/>
        <v>70.813397129186612</v>
      </c>
    </row>
    <row r="31" spans="1:7" ht="14.25" customHeight="1" x14ac:dyDescent="0.2">
      <c r="A31"/>
      <c r="B31" s="162" t="s">
        <v>299</v>
      </c>
      <c r="C31" s="162" t="s">
        <v>344</v>
      </c>
      <c r="D31" s="235">
        <v>330</v>
      </c>
      <c r="E31" s="235">
        <v>260</v>
      </c>
      <c r="F31" s="235">
        <v>216</v>
      </c>
      <c r="G31" s="154">
        <f t="shared" si="1"/>
        <v>83.07692307692308</v>
      </c>
    </row>
    <row r="32" spans="1:7" ht="14.25" customHeight="1" x14ac:dyDescent="0.2">
      <c r="A32"/>
      <c r="B32" s="162" t="s">
        <v>325</v>
      </c>
      <c r="C32" s="162" t="s">
        <v>345</v>
      </c>
      <c r="D32" s="235">
        <v>20</v>
      </c>
      <c r="E32" s="235">
        <v>20</v>
      </c>
      <c r="F32" s="235">
        <v>7</v>
      </c>
      <c r="G32" s="154">
        <f t="shared" si="1"/>
        <v>35</v>
      </c>
    </row>
    <row r="33" spans="1:7" ht="14.25" customHeight="1" x14ac:dyDescent="0.2">
      <c r="A33"/>
      <c r="B33" s="246" t="s">
        <v>302</v>
      </c>
      <c r="C33" s="246"/>
      <c r="D33" s="248">
        <v>2854</v>
      </c>
      <c r="E33" s="248">
        <v>2742</v>
      </c>
      <c r="F33" s="248">
        <v>2469</v>
      </c>
      <c r="G33" s="249">
        <f t="shared" si="1"/>
        <v>90.043763676148785</v>
      </c>
    </row>
    <row r="34" spans="1:7" ht="14.25" customHeight="1" x14ac:dyDescent="0.2">
      <c r="A34"/>
      <c r="B34" s="246" t="s">
        <v>303</v>
      </c>
      <c r="C34" s="246"/>
      <c r="D34" s="248">
        <v>4855</v>
      </c>
      <c r="E34" s="248">
        <v>4743</v>
      </c>
      <c r="F34" s="248">
        <v>5067</v>
      </c>
      <c r="G34" s="249">
        <f t="shared" si="1"/>
        <v>106.83111954459204</v>
      </c>
    </row>
    <row r="35" spans="1:7" ht="14.25" customHeight="1" x14ac:dyDescent="0.2">
      <c r="A35"/>
      <c r="B35" s="250" t="s">
        <v>179</v>
      </c>
      <c r="C35" s="251"/>
      <c r="D35" s="251"/>
      <c r="E35" s="251"/>
      <c r="F35" s="251"/>
      <c r="G35" s="251"/>
    </row>
    <row r="36" spans="1:7" x14ac:dyDescent="0.2">
      <c r="A36"/>
      <c r="B36" s="252" t="s">
        <v>189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5" orientation="landscape" r:id="rId1"/>
  <headerFooter alignWithMargins="0">
    <oddFooter>&amp;LStatistiques mensuelles
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zoomScale="80" zoomScaleNormal="80" workbookViewId="0"/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99"/>
      <c r="B1" s="61" t="s">
        <v>56</v>
      </c>
      <c r="C1" s="61"/>
      <c r="D1" s="61"/>
      <c r="E1" s="61"/>
    </row>
    <row r="2" spans="1:7" ht="18.75" x14ac:dyDescent="0.2">
      <c r="A2" s="99"/>
      <c r="B2" s="61" t="s">
        <v>188</v>
      </c>
      <c r="C2" s="61"/>
      <c r="D2" s="61"/>
      <c r="E2" s="61"/>
      <c r="F2" s="61" t="s">
        <v>346</v>
      </c>
      <c r="G2" s="61"/>
    </row>
    <row r="3" spans="1:7" ht="9" customHeight="1" x14ac:dyDescent="0.2">
      <c r="A3" s="99"/>
      <c r="B3" s="99"/>
      <c r="C3" s="99"/>
      <c r="D3" s="99"/>
      <c r="E3" s="99"/>
    </row>
    <row r="4" spans="1:7" ht="15" x14ac:dyDescent="0.2">
      <c r="A4" s="64" t="s">
        <v>131</v>
      </c>
      <c r="B4" s="65" t="str">
        <f>couverture!D15</f>
        <v xml:space="preserve">1er juillet 2014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juillet 2014 </v>
      </c>
      <c r="C6" s="70"/>
      <c r="D6" s="70"/>
      <c r="E6" s="70"/>
      <c r="F6" s="206"/>
      <c r="G6" s="206"/>
    </row>
    <row r="7" spans="1:7" ht="9" customHeight="1" x14ac:dyDescent="0.2">
      <c r="B7" s="180" t="s">
        <v>152</v>
      </c>
    </row>
    <row r="8" spans="1:7" ht="25.5" x14ac:dyDescent="0.2"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B9" s="233" t="s">
        <v>294</v>
      </c>
      <c r="C9" s="234" t="s">
        <v>349</v>
      </c>
      <c r="D9" s="240">
        <v>307</v>
      </c>
      <c r="E9" s="240">
        <v>307</v>
      </c>
      <c r="F9" s="240">
        <v>474</v>
      </c>
      <c r="G9" s="241">
        <f t="shared" ref="G9" si="0">IF(E9=0,0,F9/E9*100)</f>
        <v>154.39739413680783</v>
      </c>
    </row>
    <row r="10" spans="1:7" x14ac:dyDescent="0.2">
      <c r="A10"/>
      <c r="B10" s="162" t="s">
        <v>294</v>
      </c>
      <c r="C10" s="236" t="s">
        <v>350</v>
      </c>
      <c r="D10" s="235">
        <v>202</v>
      </c>
      <c r="E10" s="235">
        <v>202</v>
      </c>
      <c r="F10" s="235">
        <v>276</v>
      </c>
      <c r="G10" s="154">
        <f t="shared" ref="G10:G45" si="1">IF(E10=0,0,F10/E10*100)</f>
        <v>136.63366336633663</v>
      </c>
    </row>
    <row r="11" spans="1:7" x14ac:dyDescent="0.2">
      <c r="A11"/>
      <c r="B11" s="162" t="s">
        <v>294</v>
      </c>
      <c r="C11" s="236" t="s">
        <v>351</v>
      </c>
      <c r="D11" s="235">
        <v>117</v>
      </c>
      <c r="E11" s="235">
        <v>117</v>
      </c>
      <c r="F11" s="235">
        <v>145</v>
      </c>
      <c r="G11" s="154">
        <f t="shared" si="1"/>
        <v>123.93162393162393</v>
      </c>
    </row>
    <row r="12" spans="1:7" x14ac:dyDescent="0.2">
      <c r="A12"/>
      <c r="B12" s="162" t="s">
        <v>294</v>
      </c>
      <c r="C12" s="236" t="s">
        <v>352</v>
      </c>
      <c r="D12" s="235">
        <v>180</v>
      </c>
      <c r="E12" s="235">
        <v>167</v>
      </c>
      <c r="F12" s="235">
        <v>370</v>
      </c>
      <c r="G12" s="154">
        <f t="shared" si="1"/>
        <v>221.55688622754491</v>
      </c>
    </row>
    <row r="13" spans="1:7" x14ac:dyDescent="0.2">
      <c r="A13"/>
      <c r="B13" s="162" t="s">
        <v>294</v>
      </c>
      <c r="C13" s="236" t="s">
        <v>353</v>
      </c>
      <c r="D13" s="235">
        <v>82</v>
      </c>
      <c r="E13" s="235">
        <v>82</v>
      </c>
      <c r="F13" s="235">
        <v>83</v>
      </c>
      <c r="G13" s="154">
        <f t="shared" si="1"/>
        <v>101.21951219512195</v>
      </c>
    </row>
    <row r="14" spans="1:7" x14ac:dyDescent="0.2">
      <c r="A14"/>
      <c r="B14" s="162" t="s">
        <v>294</v>
      </c>
      <c r="C14" s="236" t="s">
        <v>354</v>
      </c>
      <c r="D14" s="235">
        <v>385</v>
      </c>
      <c r="E14" s="235">
        <v>385</v>
      </c>
      <c r="F14" s="235">
        <v>556</v>
      </c>
      <c r="G14" s="154">
        <f t="shared" si="1"/>
        <v>144.41558441558442</v>
      </c>
    </row>
    <row r="15" spans="1:7" x14ac:dyDescent="0.2">
      <c r="A15"/>
      <c r="B15" s="162" t="s">
        <v>294</v>
      </c>
      <c r="C15" s="236" t="s">
        <v>355</v>
      </c>
      <c r="D15" s="235">
        <v>105</v>
      </c>
      <c r="E15" s="235">
        <v>105</v>
      </c>
      <c r="F15" s="235">
        <v>111</v>
      </c>
      <c r="G15" s="154">
        <f t="shared" si="1"/>
        <v>105.71428571428572</v>
      </c>
    </row>
    <row r="16" spans="1:7" x14ac:dyDescent="0.2">
      <c r="A16"/>
      <c r="B16" s="162" t="s">
        <v>294</v>
      </c>
      <c r="C16" s="236" t="s">
        <v>356</v>
      </c>
      <c r="D16" s="235">
        <v>162</v>
      </c>
      <c r="E16" s="235">
        <v>162</v>
      </c>
      <c r="F16" s="235">
        <v>257</v>
      </c>
      <c r="G16" s="154">
        <f t="shared" si="1"/>
        <v>158.64197530864197</v>
      </c>
    </row>
    <row r="17" spans="1:7" x14ac:dyDescent="0.2">
      <c r="A17"/>
      <c r="B17" s="162" t="s">
        <v>294</v>
      </c>
      <c r="C17" s="236" t="s">
        <v>357</v>
      </c>
      <c r="D17" s="235">
        <v>647</v>
      </c>
      <c r="E17" s="235">
        <v>647</v>
      </c>
      <c r="F17" s="235">
        <v>623</v>
      </c>
      <c r="G17" s="154">
        <f t="shared" si="1"/>
        <v>96.290571870170012</v>
      </c>
    </row>
    <row r="18" spans="1:7" x14ac:dyDescent="0.2">
      <c r="A18"/>
      <c r="B18" s="162" t="s">
        <v>294</v>
      </c>
      <c r="C18" s="236" t="s">
        <v>358</v>
      </c>
      <c r="D18" s="235">
        <v>222</v>
      </c>
      <c r="E18" s="235">
        <v>222</v>
      </c>
      <c r="F18" s="235">
        <v>359</v>
      </c>
      <c r="G18" s="154">
        <f t="shared" si="1"/>
        <v>161.7117117117117</v>
      </c>
    </row>
    <row r="19" spans="1:7" x14ac:dyDescent="0.2">
      <c r="A19"/>
      <c r="B19" s="162" t="s">
        <v>295</v>
      </c>
      <c r="C19" s="236" t="s">
        <v>359</v>
      </c>
      <c r="D19" s="235">
        <v>195</v>
      </c>
      <c r="E19" s="235">
        <v>195</v>
      </c>
      <c r="F19" s="235">
        <v>306</v>
      </c>
      <c r="G19" s="154">
        <f t="shared" si="1"/>
        <v>156.92307692307693</v>
      </c>
    </row>
    <row r="20" spans="1:7" x14ac:dyDescent="0.2">
      <c r="A20"/>
      <c r="B20" s="162" t="s">
        <v>295</v>
      </c>
      <c r="C20" s="236" t="s">
        <v>360</v>
      </c>
      <c r="D20" s="235">
        <v>298</v>
      </c>
      <c r="E20" s="235">
        <v>297</v>
      </c>
      <c r="F20" s="235">
        <v>336</v>
      </c>
      <c r="G20" s="154">
        <f t="shared" si="1"/>
        <v>113.13131313131312</v>
      </c>
    </row>
    <row r="21" spans="1:7" x14ac:dyDescent="0.2">
      <c r="A21"/>
      <c r="B21" s="162" t="s">
        <v>295</v>
      </c>
      <c r="C21" s="236" t="s">
        <v>361</v>
      </c>
      <c r="D21" s="235">
        <v>232</v>
      </c>
      <c r="E21" s="235">
        <v>232</v>
      </c>
      <c r="F21" s="235">
        <v>328</v>
      </c>
      <c r="G21" s="154">
        <f t="shared" si="1"/>
        <v>141.37931034482759</v>
      </c>
    </row>
    <row r="22" spans="1:7" x14ac:dyDescent="0.2">
      <c r="A22"/>
      <c r="B22" s="162" t="s">
        <v>295</v>
      </c>
      <c r="C22" s="236" t="s">
        <v>362</v>
      </c>
      <c r="D22" s="235">
        <v>449</v>
      </c>
      <c r="E22" s="235">
        <v>449</v>
      </c>
      <c r="F22" s="235">
        <v>553</v>
      </c>
      <c r="G22" s="154">
        <f t="shared" si="1"/>
        <v>123.16258351893097</v>
      </c>
    </row>
    <row r="23" spans="1:7" x14ac:dyDescent="0.2">
      <c r="A23"/>
      <c r="B23" s="162" t="s">
        <v>295</v>
      </c>
      <c r="C23" s="236" t="s">
        <v>363</v>
      </c>
      <c r="D23" s="235">
        <v>196</v>
      </c>
      <c r="E23" s="235">
        <v>196</v>
      </c>
      <c r="F23" s="235">
        <v>351</v>
      </c>
      <c r="G23" s="154">
        <f t="shared" si="1"/>
        <v>179.08163265306123</v>
      </c>
    </row>
    <row r="24" spans="1:7" x14ac:dyDescent="0.2">
      <c r="A24"/>
      <c r="B24" s="162" t="s">
        <v>295</v>
      </c>
      <c r="C24" s="236" t="s">
        <v>364</v>
      </c>
      <c r="D24" s="235">
        <v>200</v>
      </c>
      <c r="E24" s="235">
        <v>200</v>
      </c>
      <c r="F24" s="235">
        <v>233</v>
      </c>
      <c r="G24" s="154">
        <f t="shared" si="1"/>
        <v>116.5</v>
      </c>
    </row>
    <row r="25" spans="1:7" x14ac:dyDescent="0.2">
      <c r="A25"/>
      <c r="B25" s="162" t="s">
        <v>295</v>
      </c>
      <c r="C25" s="236" t="s">
        <v>361</v>
      </c>
      <c r="D25" s="235">
        <v>68</v>
      </c>
      <c r="E25" s="235">
        <v>0</v>
      </c>
      <c r="F25" s="235">
        <v>0</v>
      </c>
      <c r="G25" s="154">
        <f t="shared" si="1"/>
        <v>0</v>
      </c>
    </row>
    <row r="26" spans="1:7" x14ac:dyDescent="0.2">
      <c r="A26"/>
      <c r="B26" s="162" t="s">
        <v>295</v>
      </c>
      <c r="C26" s="236" t="s">
        <v>365</v>
      </c>
      <c r="D26" s="235">
        <v>584</v>
      </c>
      <c r="E26" s="235">
        <v>584</v>
      </c>
      <c r="F26" s="235">
        <v>862</v>
      </c>
      <c r="G26" s="154">
        <f t="shared" si="1"/>
        <v>147.60273972602741</v>
      </c>
    </row>
    <row r="27" spans="1:7" ht="13.5" x14ac:dyDescent="0.2">
      <c r="A27"/>
      <c r="B27" s="246" t="s">
        <v>296</v>
      </c>
      <c r="C27" s="247"/>
      <c r="D27" s="248">
        <v>4631</v>
      </c>
      <c r="E27" s="248">
        <v>4549</v>
      </c>
      <c r="F27" s="248">
        <v>6223</v>
      </c>
      <c r="G27" s="249">
        <f t="shared" si="1"/>
        <v>136.79929654869204</v>
      </c>
    </row>
    <row r="28" spans="1:7" x14ac:dyDescent="0.2">
      <c r="A28"/>
      <c r="B28" s="242" t="s">
        <v>297</v>
      </c>
      <c r="C28" s="243" t="s">
        <v>366</v>
      </c>
      <c r="D28" s="244">
        <v>599</v>
      </c>
      <c r="E28" s="244">
        <v>599</v>
      </c>
      <c r="F28" s="244">
        <v>529</v>
      </c>
      <c r="G28" s="245">
        <f t="shared" si="1"/>
        <v>88.313856427378965</v>
      </c>
    </row>
    <row r="29" spans="1:7" x14ac:dyDescent="0.2">
      <c r="A29"/>
      <c r="B29" s="162" t="s">
        <v>297</v>
      </c>
      <c r="C29" s="236" t="s">
        <v>367</v>
      </c>
      <c r="D29" s="235">
        <v>819</v>
      </c>
      <c r="E29" s="235">
        <v>780</v>
      </c>
      <c r="F29" s="235">
        <v>761</v>
      </c>
      <c r="G29" s="154">
        <f t="shared" si="1"/>
        <v>97.564102564102555</v>
      </c>
    </row>
    <row r="30" spans="1:7" x14ac:dyDescent="0.2">
      <c r="A30"/>
      <c r="B30" s="162" t="s">
        <v>298</v>
      </c>
      <c r="C30" s="236" t="s">
        <v>368</v>
      </c>
      <c r="D30" s="235">
        <v>33</v>
      </c>
      <c r="E30" s="235">
        <v>33</v>
      </c>
      <c r="F30" s="235">
        <v>27</v>
      </c>
      <c r="G30" s="154">
        <f t="shared" si="1"/>
        <v>81.818181818181827</v>
      </c>
    </row>
    <row r="31" spans="1:7" x14ac:dyDescent="0.2">
      <c r="A31"/>
      <c r="B31" s="162" t="s">
        <v>298</v>
      </c>
      <c r="C31" s="236" t="s">
        <v>359</v>
      </c>
      <c r="D31" s="235">
        <v>200</v>
      </c>
      <c r="E31" s="235">
        <v>200</v>
      </c>
      <c r="F31" s="235">
        <v>189</v>
      </c>
      <c r="G31" s="154">
        <f t="shared" si="1"/>
        <v>94.5</v>
      </c>
    </row>
    <row r="32" spans="1:7" x14ac:dyDescent="0.2">
      <c r="A32"/>
      <c r="B32" s="162" t="s">
        <v>298</v>
      </c>
      <c r="C32" s="236" t="s">
        <v>360</v>
      </c>
      <c r="D32" s="235">
        <v>392</v>
      </c>
      <c r="E32" s="235">
        <v>391</v>
      </c>
      <c r="F32" s="235">
        <v>362</v>
      </c>
      <c r="G32" s="154">
        <f t="shared" si="1"/>
        <v>92.583120204603574</v>
      </c>
    </row>
    <row r="33" spans="1:7" x14ac:dyDescent="0.2">
      <c r="A33"/>
      <c r="B33" s="162" t="s">
        <v>298</v>
      </c>
      <c r="C33" s="236" t="s">
        <v>361</v>
      </c>
      <c r="D33" s="235">
        <v>384</v>
      </c>
      <c r="E33" s="235">
        <v>384</v>
      </c>
      <c r="F33" s="235">
        <v>362</v>
      </c>
      <c r="G33" s="154">
        <f t="shared" si="1"/>
        <v>94.270833333333343</v>
      </c>
    </row>
    <row r="34" spans="1:7" x14ac:dyDescent="0.2">
      <c r="A34"/>
      <c r="B34" s="162" t="s">
        <v>298</v>
      </c>
      <c r="C34" s="236" t="s">
        <v>362</v>
      </c>
      <c r="D34" s="235">
        <v>209</v>
      </c>
      <c r="E34" s="235">
        <v>209</v>
      </c>
      <c r="F34" s="235">
        <v>197</v>
      </c>
      <c r="G34" s="154">
        <f t="shared" si="1"/>
        <v>94.258373205741634</v>
      </c>
    </row>
    <row r="35" spans="1:7" x14ac:dyDescent="0.2">
      <c r="A35"/>
      <c r="B35" s="162" t="s">
        <v>298</v>
      </c>
      <c r="C35" s="236" t="s">
        <v>363</v>
      </c>
      <c r="D35" s="235">
        <v>400</v>
      </c>
      <c r="E35" s="235">
        <v>400</v>
      </c>
      <c r="F35" s="235">
        <v>387</v>
      </c>
      <c r="G35" s="154">
        <f t="shared" si="1"/>
        <v>96.75</v>
      </c>
    </row>
    <row r="36" spans="1:7" x14ac:dyDescent="0.2">
      <c r="A36"/>
      <c r="B36" s="162" t="s">
        <v>298</v>
      </c>
      <c r="C36" s="236" t="s">
        <v>364</v>
      </c>
      <c r="D36" s="235">
        <v>200</v>
      </c>
      <c r="E36" s="235">
        <v>200</v>
      </c>
      <c r="F36" s="235">
        <v>190</v>
      </c>
      <c r="G36" s="154">
        <f t="shared" si="1"/>
        <v>95</v>
      </c>
    </row>
    <row r="37" spans="1:7" x14ac:dyDescent="0.2">
      <c r="A37"/>
      <c r="B37" s="162" t="s">
        <v>298</v>
      </c>
      <c r="C37" s="236" t="s">
        <v>361</v>
      </c>
      <c r="D37" s="235">
        <v>94</v>
      </c>
      <c r="E37" s="235">
        <v>0</v>
      </c>
      <c r="F37" s="235">
        <v>0</v>
      </c>
      <c r="G37" s="154">
        <f t="shared" si="1"/>
        <v>0</v>
      </c>
    </row>
    <row r="38" spans="1:7" x14ac:dyDescent="0.2">
      <c r="A38"/>
      <c r="B38" s="162" t="s">
        <v>347</v>
      </c>
      <c r="C38" s="236" t="s">
        <v>368</v>
      </c>
      <c r="D38" s="235">
        <v>101</v>
      </c>
      <c r="E38" s="235">
        <v>101</v>
      </c>
      <c r="F38" s="235">
        <v>74</v>
      </c>
      <c r="G38" s="154">
        <f t="shared" si="1"/>
        <v>73.267326732673268</v>
      </c>
    </row>
    <row r="39" spans="1:7" x14ac:dyDescent="0.2">
      <c r="A39"/>
      <c r="B39" s="162" t="s">
        <v>347</v>
      </c>
      <c r="C39" s="236" t="s">
        <v>362</v>
      </c>
      <c r="D39" s="235">
        <v>28</v>
      </c>
      <c r="E39" s="235">
        <v>28</v>
      </c>
      <c r="F39" s="235">
        <v>24</v>
      </c>
      <c r="G39" s="154">
        <f t="shared" si="1"/>
        <v>85.714285714285708</v>
      </c>
    </row>
    <row r="40" spans="1:7" x14ac:dyDescent="0.2">
      <c r="A40"/>
      <c r="B40" s="162" t="s">
        <v>300</v>
      </c>
      <c r="C40" s="236" t="s">
        <v>363</v>
      </c>
      <c r="D40" s="235">
        <v>96</v>
      </c>
      <c r="E40" s="235">
        <v>96</v>
      </c>
      <c r="F40" s="235">
        <v>30</v>
      </c>
      <c r="G40" s="154">
        <f t="shared" si="1"/>
        <v>31.25</v>
      </c>
    </row>
    <row r="41" spans="1:7" x14ac:dyDescent="0.2">
      <c r="A41"/>
      <c r="B41" s="162" t="s">
        <v>301</v>
      </c>
      <c r="C41" s="236" t="s">
        <v>369</v>
      </c>
      <c r="D41" s="235">
        <v>60</v>
      </c>
      <c r="E41" s="235">
        <v>60</v>
      </c>
      <c r="F41" s="235">
        <v>40</v>
      </c>
      <c r="G41" s="154">
        <f t="shared" si="1"/>
        <v>66.666666666666657</v>
      </c>
    </row>
    <row r="42" spans="1:7" x14ac:dyDescent="0.2">
      <c r="A42"/>
      <c r="B42" s="162" t="s">
        <v>178</v>
      </c>
      <c r="C42" s="236" t="s">
        <v>370</v>
      </c>
      <c r="D42" s="235">
        <v>60</v>
      </c>
      <c r="E42" s="235">
        <v>60</v>
      </c>
      <c r="F42" s="235">
        <v>51</v>
      </c>
      <c r="G42" s="154">
        <f t="shared" si="1"/>
        <v>85</v>
      </c>
    </row>
    <row r="43" spans="1:7" x14ac:dyDescent="0.2">
      <c r="A43"/>
      <c r="B43" s="162" t="s">
        <v>348</v>
      </c>
      <c r="C43" s="236" t="s">
        <v>371</v>
      </c>
      <c r="D43" s="235">
        <v>33</v>
      </c>
      <c r="E43" s="235">
        <v>30</v>
      </c>
      <c r="F43" s="235">
        <v>27</v>
      </c>
      <c r="G43" s="154">
        <f t="shared" si="1"/>
        <v>90</v>
      </c>
    </row>
    <row r="44" spans="1:7" ht="13.5" x14ac:dyDescent="0.2">
      <c r="A44"/>
      <c r="B44" s="246" t="s">
        <v>302</v>
      </c>
      <c r="C44" s="247"/>
      <c r="D44" s="248">
        <v>3708</v>
      </c>
      <c r="E44" s="248">
        <v>3571</v>
      </c>
      <c r="F44" s="248">
        <v>3250</v>
      </c>
      <c r="G44" s="249">
        <f t="shared" si="1"/>
        <v>91.010921310557265</v>
      </c>
    </row>
    <row r="45" spans="1:7" ht="13.5" x14ac:dyDescent="0.2">
      <c r="A45"/>
      <c r="B45" s="246" t="s">
        <v>303</v>
      </c>
      <c r="C45" s="247"/>
      <c r="D45" s="248">
        <v>8339</v>
      </c>
      <c r="E45" s="248">
        <v>8120</v>
      </c>
      <c r="F45" s="248">
        <v>9473</v>
      </c>
      <c r="G45" s="249">
        <f t="shared" si="1"/>
        <v>116.66256157635469</v>
      </c>
    </row>
    <row r="46" spans="1:7" x14ac:dyDescent="0.2">
      <c r="A46"/>
      <c r="B46" s="250" t="s">
        <v>179</v>
      </c>
      <c r="C46" s="251"/>
      <c r="D46" s="251"/>
      <c r="E46" s="251"/>
      <c r="F46" s="251"/>
      <c r="G46" s="251"/>
    </row>
    <row r="47" spans="1:7" x14ac:dyDescent="0.2">
      <c r="A47"/>
      <c r="B47" s="252" t="s">
        <v>189</v>
      </c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74" orientation="landscape" r:id="rId1"/>
  <headerFooter alignWithMargins="0">
    <oddFooter>&amp;LStatistiques mensuelles
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zoomScale="80" zoomScaleNormal="80" workbookViewId="0"/>
  </sheetViews>
  <sheetFormatPr baseColWidth="10" defaultRowHeight="12.75" x14ac:dyDescent="0.2"/>
  <cols>
    <col min="1" max="1" width="14.5703125" style="119" bestFit="1" customWidth="1"/>
    <col min="2" max="2" width="5.7109375" style="119" customWidth="1"/>
    <col min="3" max="3" width="28.7109375" style="119" customWidth="1"/>
    <col min="4" max="5" width="17.7109375" style="119" customWidth="1"/>
    <col min="6" max="6" width="26.7109375" style="119" customWidth="1"/>
    <col min="7" max="7" width="17.7109375" style="119" customWidth="1"/>
    <col min="8" max="8" width="4.7109375" style="119" customWidth="1"/>
    <col min="9" max="16384" width="11.42578125" style="119"/>
  </cols>
  <sheetData>
    <row r="1" spans="1:7" ht="18.75" x14ac:dyDescent="0.2">
      <c r="A1" s="99"/>
      <c r="B1" s="61" t="s">
        <v>59</v>
      </c>
      <c r="C1" s="61"/>
      <c r="D1" s="61"/>
      <c r="E1" s="61"/>
      <c r="F1" s="29"/>
      <c r="G1" s="29"/>
    </row>
    <row r="2" spans="1:7" ht="18.75" x14ac:dyDescent="0.2">
      <c r="A2" s="99"/>
      <c r="B2" s="61" t="s">
        <v>188</v>
      </c>
      <c r="C2" s="61"/>
      <c r="D2" s="61"/>
      <c r="E2" s="61"/>
      <c r="F2" s="61" t="s">
        <v>372</v>
      </c>
      <c r="G2" s="61"/>
    </row>
    <row r="3" spans="1:7" ht="9" customHeight="1" x14ac:dyDescent="0.2">
      <c r="A3" s="99"/>
      <c r="B3" s="99"/>
      <c r="C3" s="99"/>
      <c r="D3" s="99"/>
      <c r="E3" s="99"/>
      <c r="F3" s="29"/>
      <c r="G3" s="29"/>
    </row>
    <row r="4" spans="1:7" ht="15" x14ac:dyDescent="0.2">
      <c r="A4" s="64" t="s">
        <v>131</v>
      </c>
      <c r="B4" s="65" t="str">
        <f>couverture!D15</f>
        <v xml:space="preserve">1er juillet 2014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juillet 2014 </v>
      </c>
      <c r="C6" s="70"/>
      <c r="D6" s="70"/>
      <c r="E6" s="70"/>
      <c r="F6" s="206"/>
      <c r="G6" s="206"/>
    </row>
    <row r="7" spans="1:7" ht="9" customHeight="1" x14ac:dyDescent="0.2">
      <c r="A7" s="29"/>
      <c r="B7" s="180" t="s">
        <v>152</v>
      </c>
      <c r="C7" s="29"/>
      <c r="D7" s="29"/>
      <c r="E7" s="29"/>
      <c r="F7" s="29"/>
      <c r="G7" s="29"/>
    </row>
    <row r="8" spans="1:7" ht="49.5" customHeight="1" x14ac:dyDescent="0.2">
      <c r="A8" s="29"/>
      <c r="B8" s="29"/>
      <c r="C8" s="29"/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A9" s="29"/>
      <c r="B9" s="233" t="s">
        <v>294</v>
      </c>
      <c r="C9" s="234" t="s">
        <v>373</v>
      </c>
      <c r="D9" s="240">
        <v>72</v>
      </c>
      <c r="E9" s="240">
        <v>72</v>
      </c>
      <c r="F9" s="240">
        <v>47</v>
      </c>
      <c r="G9" s="241">
        <f t="shared" ref="G9" si="0">IF(E9=0,0,F9/E9*100)</f>
        <v>65.277777777777786</v>
      </c>
    </row>
    <row r="10" spans="1:7" x14ac:dyDescent="0.2">
      <c r="A10"/>
      <c r="B10" s="162" t="s">
        <v>294</v>
      </c>
      <c r="C10" s="236" t="s">
        <v>374</v>
      </c>
      <c r="D10" s="235">
        <v>187</v>
      </c>
      <c r="E10" s="235">
        <v>187</v>
      </c>
      <c r="F10" s="235">
        <v>220</v>
      </c>
      <c r="G10" s="154">
        <f t="shared" ref="G10:G38" si="1">IF(E10=0,0,F10/E10*100)</f>
        <v>117.64705882352942</v>
      </c>
    </row>
    <row r="11" spans="1:7" x14ac:dyDescent="0.2">
      <c r="A11"/>
      <c r="B11" s="162" t="s">
        <v>294</v>
      </c>
      <c r="C11" s="236" t="s">
        <v>375</v>
      </c>
      <c r="D11" s="235">
        <v>93</v>
      </c>
      <c r="E11" s="235">
        <v>93</v>
      </c>
      <c r="F11" s="235">
        <v>126</v>
      </c>
      <c r="G11" s="154">
        <f t="shared" si="1"/>
        <v>135.48387096774192</v>
      </c>
    </row>
    <row r="12" spans="1:7" x14ac:dyDescent="0.2">
      <c r="A12"/>
      <c r="B12" s="162" t="s">
        <v>294</v>
      </c>
      <c r="C12" s="236" t="s">
        <v>376</v>
      </c>
      <c r="D12" s="235">
        <v>70</v>
      </c>
      <c r="E12" s="235">
        <v>70</v>
      </c>
      <c r="F12" s="235">
        <v>79</v>
      </c>
      <c r="G12" s="154">
        <f t="shared" si="1"/>
        <v>112.85714285714286</v>
      </c>
    </row>
    <row r="13" spans="1:7" x14ac:dyDescent="0.2">
      <c r="A13"/>
      <c r="B13" s="162" t="s">
        <v>294</v>
      </c>
      <c r="C13" s="236" t="s">
        <v>377</v>
      </c>
      <c r="D13" s="235">
        <v>232</v>
      </c>
      <c r="E13" s="235">
        <v>232</v>
      </c>
      <c r="F13" s="235">
        <v>309</v>
      </c>
      <c r="G13" s="154">
        <f t="shared" si="1"/>
        <v>133.18965517241378</v>
      </c>
    </row>
    <row r="14" spans="1:7" x14ac:dyDescent="0.2">
      <c r="A14"/>
      <c r="B14" s="162" t="s">
        <v>294</v>
      </c>
      <c r="C14" s="236" t="s">
        <v>378</v>
      </c>
      <c r="D14" s="235">
        <v>36</v>
      </c>
      <c r="E14" s="235">
        <v>36</v>
      </c>
      <c r="F14" s="235">
        <v>61</v>
      </c>
      <c r="G14" s="154">
        <f t="shared" si="1"/>
        <v>169.44444444444443</v>
      </c>
    </row>
    <row r="15" spans="1:7" x14ac:dyDescent="0.2">
      <c r="A15"/>
      <c r="B15" s="162" t="s">
        <v>294</v>
      </c>
      <c r="C15" s="236" t="s">
        <v>379</v>
      </c>
      <c r="D15" s="235">
        <v>688</v>
      </c>
      <c r="E15" s="235">
        <v>688</v>
      </c>
      <c r="F15" s="235">
        <v>898</v>
      </c>
      <c r="G15" s="154">
        <f t="shared" si="1"/>
        <v>130.52325581395351</v>
      </c>
    </row>
    <row r="16" spans="1:7" x14ac:dyDescent="0.2">
      <c r="A16"/>
      <c r="B16" s="162" t="s">
        <v>294</v>
      </c>
      <c r="C16" s="236" t="s">
        <v>380</v>
      </c>
      <c r="D16" s="235">
        <v>21</v>
      </c>
      <c r="E16" s="235">
        <v>21</v>
      </c>
      <c r="F16" s="235">
        <v>28</v>
      </c>
      <c r="G16" s="154">
        <f t="shared" si="1"/>
        <v>133.33333333333331</v>
      </c>
    </row>
    <row r="17" spans="1:7" x14ac:dyDescent="0.2">
      <c r="A17"/>
      <c r="B17" s="162" t="s">
        <v>294</v>
      </c>
      <c r="C17" s="236" t="s">
        <v>381</v>
      </c>
      <c r="D17" s="235">
        <v>62</v>
      </c>
      <c r="E17" s="235">
        <v>62</v>
      </c>
      <c r="F17" s="235">
        <v>70</v>
      </c>
      <c r="G17" s="154">
        <f t="shared" si="1"/>
        <v>112.90322580645163</v>
      </c>
    </row>
    <row r="18" spans="1:7" x14ac:dyDescent="0.2">
      <c r="A18"/>
      <c r="B18" s="162" t="s">
        <v>294</v>
      </c>
      <c r="C18" s="236" t="s">
        <v>382</v>
      </c>
      <c r="D18" s="235">
        <v>141</v>
      </c>
      <c r="E18" s="235">
        <v>141</v>
      </c>
      <c r="F18" s="235">
        <v>114</v>
      </c>
      <c r="G18" s="154">
        <f t="shared" si="1"/>
        <v>80.851063829787222</v>
      </c>
    </row>
    <row r="19" spans="1:7" x14ac:dyDescent="0.2">
      <c r="A19"/>
      <c r="B19" s="162" t="s">
        <v>294</v>
      </c>
      <c r="C19" s="236" t="s">
        <v>383</v>
      </c>
      <c r="D19" s="235">
        <v>327</v>
      </c>
      <c r="E19" s="235">
        <v>327</v>
      </c>
      <c r="F19" s="235">
        <v>399</v>
      </c>
      <c r="G19" s="154">
        <f t="shared" si="1"/>
        <v>122.01834862385321</v>
      </c>
    </row>
    <row r="20" spans="1:7" x14ac:dyDescent="0.2">
      <c r="A20"/>
      <c r="B20" s="162" t="s">
        <v>294</v>
      </c>
      <c r="C20" s="236" t="s">
        <v>384</v>
      </c>
      <c r="D20" s="235">
        <v>137</v>
      </c>
      <c r="E20" s="235">
        <v>137</v>
      </c>
      <c r="F20" s="235">
        <v>169</v>
      </c>
      <c r="G20" s="154">
        <f t="shared" si="1"/>
        <v>123.35766423357664</v>
      </c>
    </row>
    <row r="21" spans="1:7" x14ac:dyDescent="0.2">
      <c r="A21"/>
      <c r="B21" s="162" t="s">
        <v>294</v>
      </c>
      <c r="C21" s="236" t="s">
        <v>385</v>
      </c>
      <c r="D21" s="235">
        <v>634</v>
      </c>
      <c r="E21" s="235">
        <v>634</v>
      </c>
      <c r="F21" s="235">
        <v>673</v>
      </c>
      <c r="G21" s="154">
        <f t="shared" si="1"/>
        <v>106.15141955835963</v>
      </c>
    </row>
    <row r="22" spans="1:7" x14ac:dyDescent="0.2">
      <c r="A22"/>
      <c r="B22" s="162" t="s">
        <v>295</v>
      </c>
      <c r="C22" s="236" t="s">
        <v>386</v>
      </c>
      <c r="D22" s="235">
        <v>227</v>
      </c>
      <c r="E22" s="235">
        <v>227</v>
      </c>
      <c r="F22" s="235">
        <v>282</v>
      </c>
      <c r="G22" s="154">
        <f t="shared" si="1"/>
        <v>124.22907488986785</v>
      </c>
    </row>
    <row r="23" spans="1:7" x14ac:dyDescent="0.2">
      <c r="A23"/>
      <c r="B23" s="162" t="s">
        <v>295</v>
      </c>
      <c r="C23" s="236" t="s">
        <v>387</v>
      </c>
      <c r="D23" s="235">
        <v>388</v>
      </c>
      <c r="E23" s="235">
        <v>388</v>
      </c>
      <c r="F23" s="235">
        <v>418</v>
      </c>
      <c r="G23" s="154">
        <f t="shared" si="1"/>
        <v>107.73195876288659</v>
      </c>
    </row>
    <row r="24" spans="1:7" x14ac:dyDescent="0.2">
      <c r="A24"/>
      <c r="B24" s="162" t="s">
        <v>295</v>
      </c>
      <c r="C24" s="236" t="s">
        <v>388</v>
      </c>
      <c r="D24" s="235">
        <v>136</v>
      </c>
      <c r="E24" s="235">
        <v>116</v>
      </c>
      <c r="F24" s="235">
        <v>137</v>
      </c>
      <c r="G24" s="154">
        <f t="shared" si="1"/>
        <v>118.10344827586208</v>
      </c>
    </row>
    <row r="25" spans="1:7" x14ac:dyDescent="0.2">
      <c r="A25"/>
      <c r="B25" s="162" t="s">
        <v>295</v>
      </c>
      <c r="C25" s="236" t="s">
        <v>389</v>
      </c>
      <c r="D25" s="235">
        <v>237</v>
      </c>
      <c r="E25" s="235">
        <v>237</v>
      </c>
      <c r="F25" s="235">
        <v>304</v>
      </c>
      <c r="G25" s="154">
        <f t="shared" si="1"/>
        <v>128.27004219409284</v>
      </c>
    </row>
    <row r="26" spans="1:7" ht="13.5" x14ac:dyDescent="0.2">
      <c r="A26"/>
      <c r="B26" s="246" t="s">
        <v>296</v>
      </c>
      <c r="C26" s="247"/>
      <c r="D26" s="248">
        <v>3688</v>
      </c>
      <c r="E26" s="248">
        <v>3668</v>
      </c>
      <c r="F26" s="248">
        <v>4334</v>
      </c>
      <c r="G26" s="249">
        <f t="shared" si="1"/>
        <v>118.15703380588877</v>
      </c>
    </row>
    <row r="27" spans="1:7" x14ac:dyDescent="0.2">
      <c r="A27"/>
      <c r="B27" s="242" t="s">
        <v>297</v>
      </c>
      <c r="C27" s="243" t="s">
        <v>382</v>
      </c>
      <c r="D27" s="244">
        <v>163</v>
      </c>
      <c r="E27" s="244">
        <v>163</v>
      </c>
      <c r="F27" s="244">
        <v>147</v>
      </c>
      <c r="G27" s="245">
        <f t="shared" si="1"/>
        <v>90.184049079754601</v>
      </c>
    </row>
    <row r="28" spans="1:7" x14ac:dyDescent="0.2">
      <c r="A28"/>
      <c r="B28" s="162" t="s">
        <v>297</v>
      </c>
      <c r="C28" s="236" t="s">
        <v>390</v>
      </c>
      <c r="D28" s="235">
        <v>599</v>
      </c>
      <c r="E28" s="235">
        <v>599</v>
      </c>
      <c r="F28" s="235">
        <v>503</v>
      </c>
      <c r="G28" s="154">
        <f t="shared" si="1"/>
        <v>83.973288814691145</v>
      </c>
    </row>
    <row r="29" spans="1:7" x14ac:dyDescent="0.2">
      <c r="A29"/>
      <c r="B29" s="162" t="s">
        <v>298</v>
      </c>
      <c r="C29" s="236" t="s">
        <v>386</v>
      </c>
      <c r="D29" s="235">
        <v>200</v>
      </c>
      <c r="E29" s="235">
        <v>150</v>
      </c>
      <c r="F29" s="235">
        <v>146</v>
      </c>
      <c r="G29" s="154">
        <f t="shared" si="1"/>
        <v>97.333333333333343</v>
      </c>
    </row>
    <row r="30" spans="1:7" x14ac:dyDescent="0.2">
      <c r="A30"/>
      <c r="B30" s="162" t="s">
        <v>298</v>
      </c>
      <c r="C30" s="236" t="s">
        <v>387</v>
      </c>
      <c r="D30" s="235">
        <v>300</v>
      </c>
      <c r="E30" s="235">
        <v>300</v>
      </c>
      <c r="F30" s="235">
        <v>288</v>
      </c>
      <c r="G30" s="154">
        <f t="shared" si="1"/>
        <v>96</v>
      </c>
    </row>
    <row r="31" spans="1:7" x14ac:dyDescent="0.2">
      <c r="A31"/>
      <c r="B31" s="162" t="s">
        <v>298</v>
      </c>
      <c r="C31" s="236" t="s">
        <v>389</v>
      </c>
      <c r="D31" s="235">
        <v>192</v>
      </c>
      <c r="E31" s="235">
        <v>192</v>
      </c>
      <c r="F31" s="235">
        <v>177</v>
      </c>
      <c r="G31" s="154">
        <f t="shared" si="1"/>
        <v>92.1875</v>
      </c>
    </row>
    <row r="32" spans="1:7" x14ac:dyDescent="0.2">
      <c r="A32"/>
      <c r="B32" s="162" t="s">
        <v>347</v>
      </c>
      <c r="C32" s="236" t="s">
        <v>388</v>
      </c>
      <c r="D32" s="235">
        <v>123</v>
      </c>
      <c r="E32" s="235">
        <v>123</v>
      </c>
      <c r="F32" s="235">
        <v>107</v>
      </c>
      <c r="G32" s="154">
        <f t="shared" si="1"/>
        <v>86.99186991869918</v>
      </c>
    </row>
    <row r="33" spans="1:8" x14ac:dyDescent="0.2">
      <c r="A33"/>
      <c r="B33" s="162" t="s">
        <v>325</v>
      </c>
      <c r="C33" s="236" t="s">
        <v>377</v>
      </c>
      <c r="D33" s="235">
        <v>36</v>
      </c>
      <c r="E33" s="235">
        <v>36</v>
      </c>
      <c r="F33" s="235">
        <v>37</v>
      </c>
      <c r="G33" s="154">
        <f t="shared" si="1"/>
        <v>102.77777777777777</v>
      </c>
    </row>
    <row r="34" spans="1:8" x14ac:dyDescent="0.2">
      <c r="A34"/>
      <c r="B34" s="162" t="s">
        <v>325</v>
      </c>
      <c r="C34" s="236" t="s">
        <v>203</v>
      </c>
      <c r="D34" s="235">
        <v>100</v>
      </c>
      <c r="E34" s="235">
        <v>100</v>
      </c>
      <c r="F34" s="235">
        <v>82</v>
      </c>
      <c r="G34" s="154">
        <f t="shared" si="1"/>
        <v>82</v>
      </c>
    </row>
    <row r="35" spans="1:8" x14ac:dyDescent="0.2">
      <c r="A35"/>
      <c r="B35" s="162" t="s">
        <v>301</v>
      </c>
      <c r="C35" s="236" t="s">
        <v>387</v>
      </c>
      <c r="D35" s="235">
        <v>40</v>
      </c>
      <c r="E35" s="235">
        <v>40</v>
      </c>
      <c r="F35" s="235">
        <v>31</v>
      </c>
      <c r="G35" s="154">
        <f t="shared" si="1"/>
        <v>77.5</v>
      </c>
    </row>
    <row r="36" spans="1:8" x14ac:dyDescent="0.2">
      <c r="A36"/>
      <c r="B36" s="162" t="s">
        <v>178</v>
      </c>
      <c r="C36" s="236" t="s">
        <v>391</v>
      </c>
      <c r="D36" s="235">
        <v>60</v>
      </c>
      <c r="E36" s="235">
        <v>60</v>
      </c>
      <c r="F36" s="235">
        <v>32</v>
      </c>
      <c r="G36" s="154">
        <f t="shared" si="1"/>
        <v>53.333333333333336</v>
      </c>
    </row>
    <row r="37" spans="1:8" ht="13.5" x14ac:dyDescent="0.2">
      <c r="A37"/>
      <c r="B37" s="246" t="s">
        <v>302</v>
      </c>
      <c r="C37" s="247"/>
      <c r="D37" s="248">
        <v>1813</v>
      </c>
      <c r="E37" s="248">
        <v>1763</v>
      </c>
      <c r="F37" s="248">
        <v>1550</v>
      </c>
      <c r="G37" s="249">
        <f t="shared" si="1"/>
        <v>87.918321043675547</v>
      </c>
      <c r="H37" s="339"/>
    </row>
    <row r="38" spans="1:8" ht="13.5" x14ac:dyDescent="0.2">
      <c r="A38"/>
      <c r="B38" s="246" t="s">
        <v>303</v>
      </c>
      <c r="C38" s="247"/>
      <c r="D38" s="248">
        <v>5501</v>
      </c>
      <c r="E38" s="248">
        <v>5431</v>
      </c>
      <c r="F38" s="248">
        <v>5884</v>
      </c>
      <c r="G38" s="249">
        <f t="shared" si="1"/>
        <v>108.34100533971645</v>
      </c>
    </row>
    <row r="39" spans="1:8" x14ac:dyDescent="0.2">
      <c r="A39"/>
      <c r="B39" s="250" t="s">
        <v>179</v>
      </c>
      <c r="C39" s="251"/>
      <c r="D39" s="251"/>
      <c r="E39" s="251"/>
      <c r="F39" s="251"/>
      <c r="G39" s="251"/>
    </row>
    <row r="40" spans="1:8" x14ac:dyDescent="0.2">
      <c r="A40"/>
      <c r="B40" s="252" t="s">
        <v>189</v>
      </c>
      <c r="C40"/>
      <c r="D40"/>
      <c r="E40"/>
      <c r="F40"/>
      <c r="G40"/>
    </row>
    <row r="41" spans="1:8" x14ac:dyDescent="0.2">
      <c r="A41"/>
      <c r="B41"/>
      <c r="C41"/>
      <c r="D41"/>
      <c r="E41"/>
      <c r="F41"/>
      <c r="G41"/>
    </row>
    <row r="42" spans="1:8" x14ac:dyDescent="0.2">
      <c r="A42"/>
      <c r="B42"/>
      <c r="C42"/>
      <c r="D42"/>
      <c r="E42"/>
      <c r="F42"/>
      <c r="G42"/>
    </row>
    <row r="43" spans="1:8" x14ac:dyDescent="0.2">
      <c r="A43"/>
      <c r="B43"/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&amp;LStatistiques mensuelles
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zoomScale="85" zoomScaleNormal="85" workbookViewId="0"/>
  </sheetViews>
  <sheetFormatPr baseColWidth="10" defaultRowHeight="12.75" x14ac:dyDescent="0.2"/>
  <cols>
    <col min="1" max="1" width="14.5703125" style="119" bestFit="1" customWidth="1"/>
    <col min="2" max="2" width="5.7109375" style="119" customWidth="1"/>
    <col min="3" max="3" width="28.7109375" style="119" customWidth="1"/>
    <col min="4" max="5" width="17.7109375" style="119" customWidth="1"/>
    <col min="6" max="6" width="26.7109375" style="119" customWidth="1"/>
    <col min="7" max="7" width="17.7109375" style="119" customWidth="1"/>
    <col min="8" max="8" width="3.85546875" style="119" customWidth="1"/>
    <col min="9" max="16384" width="11.42578125" style="119"/>
  </cols>
  <sheetData>
    <row r="1" spans="1:7" ht="18.75" x14ac:dyDescent="0.2">
      <c r="A1" s="99"/>
      <c r="B1" s="61" t="s">
        <v>62</v>
      </c>
      <c r="C1" s="61"/>
      <c r="D1" s="61"/>
      <c r="E1" s="61"/>
      <c r="F1" s="29"/>
      <c r="G1" s="29"/>
    </row>
    <row r="2" spans="1:7" ht="18.75" x14ac:dyDescent="0.2">
      <c r="A2" s="99"/>
      <c r="B2" s="61" t="s">
        <v>188</v>
      </c>
      <c r="C2" s="61"/>
      <c r="D2" s="61"/>
      <c r="E2" s="61"/>
      <c r="F2" s="61" t="s">
        <v>392</v>
      </c>
      <c r="G2" s="61"/>
    </row>
    <row r="3" spans="1:7" ht="9" customHeight="1" x14ac:dyDescent="0.2">
      <c r="A3" s="99"/>
      <c r="B3" s="99"/>
      <c r="C3" s="99"/>
      <c r="D3" s="99"/>
      <c r="E3" s="99"/>
      <c r="F3" s="29"/>
      <c r="G3" s="29"/>
    </row>
    <row r="4" spans="1:7" ht="15" x14ac:dyDescent="0.2">
      <c r="A4" s="64" t="s">
        <v>131</v>
      </c>
      <c r="B4" s="65" t="str">
        <f>couverture!D15</f>
        <v xml:space="preserve">1er juillet 2014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juillet 2014 </v>
      </c>
      <c r="C6" s="70"/>
      <c r="D6" s="70"/>
      <c r="E6" s="70"/>
      <c r="F6" s="206"/>
      <c r="G6" s="206"/>
    </row>
    <row r="7" spans="1:7" ht="9" customHeight="1" x14ac:dyDescent="0.2">
      <c r="A7" s="29"/>
      <c r="B7" s="180" t="s">
        <v>152</v>
      </c>
      <c r="C7" s="29"/>
      <c r="D7" s="29"/>
      <c r="E7" s="29"/>
      <c r="F7" s="29"/>
      <c r="G7" s="29"/>
    </row>
    <row r="8" spans="1:7" ht="43.5" customHeight="1" x14ac:dyDescent="0.2">
      <c r="A8" s="29"/>
      <c r="B8" s="29"/>
      <c r="C8" s="29"/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A9" s="29"/>
      <c r="B9" s="233" t="s">
        <v>294</v>
      </c>
      <c r="C9" s="234" t="s">
        <v>393</v>
      </c>
      <c r="D9" s="240">
        <v>53</v>
      </c>
      <c r="E9" s="240">
        <v>53</v>
      </c>
      <c r="F9" s="240">
        <v>62</v>
      </c>
      <c r="G9" s="241">
        <f t="shared" ref="G9" si="0">IF(E9=0,0,F9/E9*100)</f>
        <v>116.98113207547169</v>
      </c>
    </row>
    <row r="10" spans="1:7" x14ac:dyDescent="0.2">
      <c r="A10"/>
      <c r="B10" s="162" t="s">
        <v>294</v>
      </c>
      <c r="C10" s="236" t="s">
        <v>394</v>
      </c>
      <c r="D10" s="235">
        <v>35</v>
      </c>
      <c r="E10" s="235">
        <v>35</v>
      </c>
      <c r="F10" s="235">
        <v>34</v>
      </c>
      <c r="G10" s="154">
        <f t="shared" ref="G10:G33" si="1">IF(E10=0,0,F10/E10*100)</f>
        <v>97.142857142857139</v>
      </c>
    </row>
    <row r="11" spans="1:7" x14ac:dyDescent="0.2">
      <c r="A11"/>
      <c r="B11" s="162" t="s">
        <v>294</v>
      </c>
      <c r="C11" s="236" t="s">
        <v>395</v>
      </c>
      <c r="D11" s="235">
        <v>37</v>
      </c>
      <c r="E11" s="235">
        <v>37</v>
      </c>
      <c r="F11" s="235">
        <v>31</v>
      </c>
      <c r="G11" s="154">
        <f t="shared" si="1"/>
        <v>83.78378378378379</v>
      </c>
    </row>
    <row r="12" spans="1:7" x14ac:dyDescent="0.2">
      <c r="A12"/>
      <c r="B12" s="162" t="s">
        <v>294</v>
      </c>
      <c r="C12" s="236" t="s">
        <v>396</v>
      </c>
      <c r="D12" s="235">
        <v>573</v>
      </c>
      <c r="E12" s="235">
        <v>573</v>
      </c>
      <c r="F12" s="235">
        <v>799</v>
      </c>
      <c r="G12" s="154">
        <f t="shared" si="1"/>
        <v>139.4415357766143</v>
      </c>
    </row>
    <row r="13" spans="1:7" x14ac:dyDescent="0.2">
      <c r="A13"/>
      <c r="B13" s="162" t="s">
        <v>294</v>
      </c>
      <c r="C13" s="236" t="s">
        <v>397</v>
      </c>
      <c r="D13" s="235">
        <v>363</v>
      </c>
      <c r="E13" s="235">
        <v>363</v>
      </c>
      <c r="F13" s="235">
        <v>609</v>
      </c>
      <c r="G13" s="154">
        <f t="shared" si="1"/>
        <v>167.7685950413223</v>
      </c>
    </row>
    <row r="14" spans="1:7" x14ac:dyDescent="0.2">
      <c r="A14"/>
      <c r="B14" s="162" t="s">
        <v>295</v>
      </c>
      <c r="C14" s="236" t="s">
        <v>398</v>
      </c>
      <c r="D14" s="235">
        <v>612</v>
      </c>
      <c r="E14" s="235">
        <v>612</v>
      </c>
      <c r="F14" s="235">
        <v>918</v>
      </c>
      <c r="G14" s="154">
        <f t="shared" si="1"/>
        <v>150</v>
      </c>
    </row>
    <row r="15" spans="1:7" x14ac:dyDescent="0.2">
      <c r="A15"/>
      <c r="B15" s="162" t="s">
        <v>295</v>
      </c>
      <c r="C15" s="236" t="s">
        <v>399</v>
      </c>
      <c r="D15" s="235">
        <v>420</v>
      </c>
      <c r="E15" s="235">
        <v>420</v>
      </c>
      <c r="F15" s="235">
        <v>589</v>
      </c>
      <c r="G15" s="154">
        <f t="shared" si="1"/>
        <v>140.23809523809524</v>
      </c>
    </row>
    <row r="16" spans="1:7" x14ac:dyDescent="0.2">
      <c r="A16"/>
      <c r="B16" s="162" t="s">
        <v>295</v>
      </c>
      <c r="C16" s="236" t="s">
        <v>400</v>
      </c>
      <c r="D16" s="235">
        <v>183</v>
      </c>
      <c r="E16" s="235">
        <v>183</v>
      </c>
      <c r="F16" s="235">
        <v>213</v>
      </c>
      <c r="G16" s="154">
        <f t="shared" si="1"/>
        <v>116.39344262295081</v>
      </c>
    </row>
    <row r="17" spans="1:7" x14ac:dyDescent="0.2">
      <c r="A17"/>
      <c r="B17" s="162" t="s">
        <v>295</v>
      </c>
      <c r="C17" s="236" t="s">
        <v>401</v>
      </c>
      <c r="D17" s="235">
        <v>1197</v>
      </c>
      <c r="E17" s="235">
        <v>1197</v>
      </c>
      <c r="F17" s="235">
        <v>1932</v>
      </c>
      <c r="G17" s="154">
        <f t="shared" si="1"/>
        <v>161.40350877192981</v>
      </c>
    </row>
    <row r="18" spans="1:7" x14ac:dyDescent="0.2">
      <c r="A18"/>
      <c r="B18" s="162" t="s">
        <v>295</v>
      </c>
      <c r="C18" s="236" t="s">
        <v>402</v>
      </c>
      <c r="D18" s="235">
        <v>395</v>
      </c>
      <c r="E18" s="235">
        <v>395</v>
      </c>
      <c r="F18" s="235">
        <v>690</v>
      </c>
      <c r="G18" s="154">
        <f t="shared" si="1"/>
        <v>174.68354430379748</v>
      </c>
    </row>
    <row r="19" spans="1:7" ht="13.5" x14ac:dyDescent="0.2">
      <c r="A19"/>
      <c r="B19" s="246" t="s">
        <v>296</v>
      </c>
      <c r="C19" s="247"/>
      <c r="D19" s="248">
        <v>3868</v>
      </c>
      <c r="E19" s="248">
        <v>3868</v>
      </c>
      <c r="F19" s="248">
        <v>5877</v>
      </c>
      <c r="G19" s="249">
        <f t="shared" si="1"/>
        <v>151.93898655635988</v>
      </c>
    </row>
    <row r="20" spans="1:7" x14ac:dyDescent="0.2">
      <c r="A20"/>
      <c r="B20" s="242" t="s">
        <v>297</v>
      </c>
      <c r="C20" s="243" t="s">
        <v>403</v>
      </c>
      <c r="D20" s="244">
        <v>194</v>
      </c>
      <c r="E20" s="244">
        <v>194</v>
      </c>
      <c r="F20" s="244">
        <v>126</v>
      </c>
      <c r="G20" s="245">
        <f t="shared" si="1"/>
        <v>64.948453608247419</v>
      </c>
    </row>
    <row r="21" spans="1:7" x14ac:dyDescent="0.2">
      <c r="A21"/>
      <c r="B21" s="162" t="s">
        <v>297</v>
      </c>
      <c r="C21" s="236" t="s">
        <v>404</v>
      </c>
      <c r="D21" s="235">
        <v>650</v>
      </c>
      <c r="E21" s="235">
        <v>650</v>
      </c>
      <c r="F21" s="235">
        <v>635</v>
      </c>
      <c r="G21" s="154">
        <f t="shared" si="1"/>
        <v>97.692307692307693</v>
      </c>
    </row>
    <row r="22" spans="1:7" x14ac:dyDescent="0.2">
      <c r="A22"/>
      <c r="B22" s="162" t="s">
        <v>297</v>
      </c>
      <c r="C22" s="236" t="s">
        <v>405</v>
      </c>
      <c r="D22" s="235">
        <v>651</v>
      </c>
      <c r="E22" s="235">
        <v>650</v>
      </c>
      <c r="F22" s="235">
        <v>631</v>
      </c>
      <c r="G22" s="154">
        <f t="shared" si="1"/>
        <v>97.076923076923066</v>
      </c>
    </row>
    <row r="23" spans="1:7" x14ac:dyDescent="0.2">
      <c r="A23"/>
      <c r="B23" s="162" t="s">
        <v>298</v>
      </c>
      <c r="C23" s="236" t="s">
        <v>399</v>
      </c>
      <c r="D23" s="235">
        <v>180</v>
      </c>
      <c r="E23" s="235">
        <v>180</v>
      </c>
      <c r="F23" s="235">
        <v>178</v>
      </c>
      <c r="G23" s="154">
        <f t="shared" si="1"/>
        <v>98.888888888888886</v>
      </c>
    </row>
    <row r="24" spans="1:7" x14ac:dyDescent="0.2">
      <c r="A24"/>
      <c r="B24" s="162" t="s">
        <v>298</v>
      </c>
      <c r="C24" s="236" t="s">
        <v>400</v>
      </c>
      <c r="D24" s="235">
        <v>48</v>
      </c>
      <c r="E24" s="235">
        <v>48</v>
      </c>
      <c r="F24" s="235">
        <v>44</v>
      </c>
      <c r="G24" s="154">
        <f t="shared" si="1"/>
        <v>91.666666666666657</v>
      </c>
    </row>
    <row r="25" spans="1:7" x14ac:dyDescent="0.2">
      <c r="A25"/>
      <c r="B25" s="162" t="s">
        <v>298</v>
      </c>
      <c r="C25" s="236" t="s">
        <v>401</v>
      </c>
      <c r="D25" s="235">
        <v>38</v>
      </c>
      <c r="E25" s="235">
        <v>0</v>
      </c>
      <c r="F25" s="235">
        <v>0</v>
      </c>
      <c r="G25" s="154">
        <f t="shared" si="1"/>
        <v>0</v>
      </c>
    </row>
    <row r="26" spans="1:7" x14ac:dyDescent="0.2">
      <c r="A26"/>
      <c r="B26" s="162" t="s">
        <v>298</v>
      </c>
      <c r="C26" s="236" t="s">
        <v>402</v>
      </c>
      <c r="D26" s="235">
        <v>191</v>
      </c>
      <c r="E26" s="235">
        <v>191</v>
      </c>
      <c r="F26" s="235">
        <v>159</v>
      </c>
      <c r="G26" s="154">
        <f t="shared" si="1"/>
        <v>83.246073298429323</v>
      </c>
    </row>
    <row r="27" spans="1:7" x14ac:dyDescent="0.2">
      <c r="A27"/>
      <c r="B27" s="162" t="s">
        <v>299</v>
      </c>
      <c r="C27" s="236" t="s">
        <v>406</v>
      </c>
      <c r="D27" s="235">
        <v>160</v>
      </c>
      <c r="E27" s="235">
        <v>157</v>
      </c>
      <c r="F27" s="235">
        <v>133</v>
      </c>
      <c r="G27" s="154">
        <f t="shared" si="1"/>
        <v>84.713375796178354</v>
      </c>
    </row>
    <row r="28" spans="1:7" x14ac:dyDescent="0.2">
      <c r="A28"/>
      <c r="B28" s="162" t="s">
        <v>300</v>
      </c>
      <c r="C28" s="236" t="s">
        <v>398</v>
      </c>
      <c r="D28" s="235">
        <v>82</v>
      </c>
      <c r="E28" s="235">
        <v>82</v>
      </c>
      <c r="F28" s="235">
        <v>42</v>
      </c>
      <c r="G28" s="154">
        <f t="shared" si="1"/>
        <v>51.219512195121951</v>
      </c>
    </row>
    <row r="29" spans="1:7" x14ac:dyDescent="0.2">
      <c r="A29"/>
      <c r="B29" s="162" t="s">
        <v>300</v>
      </c>
      <c r="C29" s="236" t="s">
        <v>401</v>
      </c>
      <c r="D29" s="235">
        <v>24</v>
      </c>
      <c r="E29" s="235">
        <v>24</v>
      </c>
      <c r="F29" s="235">
        <v>0</v>
      </c>
      <c r="G29" s="154">
        <f t="shared" si="1"/>
        <v>0</v>
      </c>
    </row>
    <row r="30" spans="1:7" x14ac:dyDescent="0.2">
      <c r="A30"/>
      <c r="B30" s="162" t="s">
        <v>301</v>
      </c>
      <c r="C30" s="236" t="s">
        <v>399</v>
      </c>
      <c r="D30" s="235">
        <v>51</v>
      </c>
      <c r="E30" s="235">
        <v>51</v>
      </c>
      <c r="F30" s="235">
        <v>36</v>
      </c>
      <c r="G30" s="154">
        <f t="shared" si="1"/>
        <v>70.588235294117652</v>
      </c>
    </row>
    <row r="31" spans="1:7" x14ac:dyDescent="0.2">
      <c r="A31"/>
      <c r="B31" s="162" t="s">
        <v>178</v>
      </c>
      <c r="C31" s="236" t="s">
        <v>204</v>
      </c>
      <c r="D31" s="235">
        <v>59</v>
      </c>
      <c r="E31" s="235">
        <v>59</v>
      </c>
      <c r="F31" s="235">
        <v>59</v>
      </c>
      <c r="G31" s="154">
        <f t="shared" si="1"/>
        <v>100</v>
      </c>
    </row>
    <row r="32" spans="1:7" ht="13.5" x14ac:dyDescent="0.2">
      <c r="A32"/>
      <c r="B32" s="246" t="s">
        <v>302</v>
      </c>
      <c r="C32" s="247"/>
      <c r="D32" s="248">
        <v>2328</v>
      </c>
      <c r="E32" s="248">
        <v>2286</v>
      </c>
      <c r="F32" s="248">
        <v>2043</v>
      </c>
      <c r="G32" s="249">
        <f t="shared" si="1"/>
        <v>89.370078740157481</v>
      </c>
    </row>
    <row r="33" spans="1:7" ht="13.5" x14ac:dyDescent="0.2">
      <c r="A33"/>
      <c r="B33" s="246" t="s">
        <v>303</v>
      </c>
      <c r="C33" s="247"/>
      <c r="D33" s="248">
        <v>6196</v>
      </c>
      <c r="E33" s="248">
        <v>6154</v>
      </c>
      <c r="F33" s="248">
        <v>7920</v>
      </c>
      <c r="G33" s="249">
        <f t="shared" si="1"/>
        <v>128.6967825804355</v>
      </c>
    </row>
    <row r="34" spans="1:7" x14ac:dyDescent="0.2">
      <c r="A34"/>
      <c r="B34" s="250" t="s">
        <v>179</v>
      </c>
      <c r="C34" s="251"/>
      <c r="D34" s="251"/>
      <c r="E34" s="251"/>
      <c r="F34" s="251"/>
      <c r="G34" s="251"/>
    </row>
    <row r="35" spans="1:7" x14ac:dyDescent="0.2">
      <c r="A35"/>
      <c r="B35" s="252" t="s">
        <v>189</v>
      </c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5" orientation="landscape" r:id="rId1"/>
  <headerFooter alignWithMargins="0">
    <oddFooter>&amp;LStatistiques mensuelles
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zoomScale="85" zoomScaleNormal="85" workbookViewId="0"/>
  </sheetViews>
  <sheetFormatPr baseColWidth="10" defaultRowHeight="12.75" x14ac:dyDescent="0.2"/>
  <cols>
    <col min="1" max="1" width="14.5703125" style="119" bestFit="1" customWidth="1"/>
    <col min="2" max="2" width="5.7109375" style="119" customWidth="1"/>
    <col min="3" max="3" width="29.7109375" style="119" customWidth="1"/>
    <col min="4" max="5" width="17.7109375" style="119" customWidth="1"/>
    <col min="6" max="6" width="26.7109375" style="119" customWidth="1"/>
    <col min="7" max="7" width="17.7109375" style="119" customWidth="1"/>
    <col min="8" max="8" width="3.85546875" style="119" customWidth="1"/>
    <col min="9" max="16384" width="11.42578125" style="119"/>
  </cols>
  <sheetData>
    <row r="1" spans="1:7" ht="18.75" x14ac:dyDescent="0.2">
      <c r="A1" s="99"/>
      <c r="B1" s="61" t="s">
        <v>65</v>
      </c>
      <c r="C1" s="61"/>
      <c r="D1" s="61"/>
      <c r="E1" s="61"/>
      <c r="F1" s="29"/>
      <c r="G1" s="29"/>
    </row>
    <row r="2" spans="1:7" ht="18.75" x14ac:dyDescent="0.2">
      <c r="A2" s="99"/>
      <c r="B2" s="61" t="s">
        <v>188</v>
      </c>
      <c r="C2" s="61"/>
      <c r="D2" s="61"/>
      <c r="E2" s="61"/>
      <c r="F2" s="61" t="s">
        <v>407</v>
      </c>
      <c r="G2" s="61"/>
    </row>
    <row r="3" spans="1:7" ht="9" customHeight="1" x14ac:dyDescent="0.2">
      <c r="A3" s="99"/>
      <c r="B3" s="99"/>
      <c r="C3" s="99"/>
      <c r="D3" s="99"/>
      <c r="E3" s="99"/>
      <c r="F3" s="29"/>
      <c r="G3" s="29"/>
    </row>
    <row r="4" spans="1:7" ht="15" x14ac:dyDescent="0.2">
      <c r="A4" s="64" t="s">
        <v>131</v>
      </c>
      <c r="B4" s="65" t="str">
        <f>couverture!D15</f>
        <v xml:space="preserve">1er juillet 2014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juillet 2014 </v>
      </c>
      <c r="C6" s="70"/>
      <c r="D6" s="70"/>
      <c r="E6" s="70"/>
      <c r="F6" s="206"/>
      <c r="G6" s="206"/>
    </row>
    <row r="7" spans="1:7" ht="9" customHeight="1" x14ac:dyDescent="0.2">
      <c r="A7" s="29"/>
      <c r="B7" s="180" t="s">
        <v>152</v>
      </c>
      <c r="C7" s="29"/>
      <c r="D7" s="29"/>
      <c r="E7" s="29"/>
      <c r="F7" s="29"/>
      <c r="G7" s="29"/>
    </row>
    <row r="8" spans="1:7" ht="44.25" customHeight="1" x14ac:dyDescent="0.2">
      <c r="A8" s="29"/>
      <c r="B8" s="205"/>
      <c r="C8" s="239"/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A9" s="29"/>
      <c r="B9" s="233" t="s">
        <v>294</v>
      </c>
      <c r="C9" s="234" t="s">
        <v>408</v>
      </c>
      <c r="D9" s="240">
        <v>500</v>
      </c>
      <c r="E9" s="240">
        <v>500</v>
      </c>
      <c r="F9" s="240">
        <v>833</v>
      </c>
      <c r="G9" s="241">
        <f t="shared" ref="G9" si="0">IF(E9=0,0,F9/E9*100)</f>
        <v>166.6</v>
      </c>
    </row>
    <row r="10" spans="1:7" x14ac:dyDescent="0.2">
      <c r="A10"/>
      <c r="B10" s="162" t="s">
        <v>294</v>
      </c>
      <c r="C10" s="236" t="s">
        <v>409</v>
      </c>
      <c r="D10" s="235">
        <v>2857</v>
      </c>
      <c r="E10" s="235">
        <v>2857</v>
      </c>
      <c r="F10" s="235">
        <v>4036</v>
      </c>
      <c r="G10" s="154">
        <f t="shared" ref="G10:G34" si="1">IF(E10=0,0,F10/E10*100)</f>
        <v>141.26706335316766</v>
      </c>
    </row>
    <row r="11" spans="1:7" x14ac:dyDescent="0.2">
      <c r="A11"/>
      <c r="B11" s="162" t="s">
        <v>294</v>
      </c>
      <c r="C11" s="236" t="s">
        <v>410</v>
      </c>
      <c r="D11" s="235">
        <v>592</v>
      </c>
      <c r="E11" s="235">
        <v>592</v>
      </c>
      <c r="F11" s="235">
        <v>1054</v>
      </c>
      <c r="G11" s="154">
        <f t="shared" si="1"/>
        <v>178.04054054054055</v>
      </c>
    </row>
    <row r="12" spans="1:7" x14ac:dyDescent="0.2">
      <c r="A12"/>
      <c r="B12" s="162" t="s">
        <v>294</v>
      </c>
      <c r="C12" s="236" t="s">
        <v>411</v>
      </c>
      <c r="D12" s="235">
        <v>579</v>
      </c>
      <c r="E12" s="235">
        <v>579</v>
      </c>
      <c r="F12" s="235">
        <v>874</v>
      </c>
      <c r="G12" s="154">
        <f t="shared" si="1"/>
        <v>150.94991364421418</v>
      </c>
    </row>
    <row r="13" spans="1:7" x14ac:dyDescent="0.2">
      <c r="A13"/>
      <c r="B13" s="162" t="s">
        <v>294</v>
      </c>
      <c r="C13" s="236" t="s">
        <v>412</v>
      </c>
      <c r="D13" s="235">
        <v>483</v>
      </c>
      <c r="E13" s="235">
        <v>483</v>
      </c>
      <c r="F13" s="235">
        <v>195</v>
      </c>
      <c r="G13" s="154">
        <f t="shared" si="1"/>
        <v>40.372670807453417</v>
      </c>
    </row>
    <row r="14" spans="1:7" x14ac:dyDescent="0.2">
      <c r="A14"/>
      <c r="B14" s="162" t="s">
        <v>294</v>
      </c>
      <c r="C14" s="236" t="s">
        <v>413</v>
      </c>
      <c r="D14" s="235">
        <v>138</v>
      </c>
      <c r="E14" s="235">
        <v>138</v>
      </c>
      <c r="F14" s="235">
        <v>137</v>
      </c>
      <c r="G14" s="154">
        <f t="shared" si="1"/>
        <v>99.275362318840578</v>
      </c>
    </row>
    <row r="15" spans="1:7" x14ac:dyDescent="0.2">
      <c r="A15"/>
      <c r="B15" s="162" t="s">
        <v>294</v>
      </c>
      <c r="C15" s="236" t="s">
        <v>414</v>
      </c>
      <c r="D15" s="235">
        <v>587</v>
      </c>
      <c r="E15" s="235">
        <v>587</v>
      </c>
      <c r="F15" s="235">
        <v>1012</v>
      </c>
      <c r="G15" s="154">
        <f t="shared" si="1"/>
        <v>172.40204429301534</v>
      </c>
    </row>
    <row r="16" spans="1:7" x14ac:dyDescent="0.2">
      <c r="A16"/>
      <c r="B16" s="162" t="s">
        <v>295</v>
      </c>
      <c r="C16" s="236" t="s">
        <v>415</v>
      </c>
      <c r="D16" s="235">
        <v>1404</v>
      </c>
      <c r="E16" s="235">
        <v>1404</v>
      </c>
      <c r="F16" s="235">
        <v>2368</v>
      </c>
      <c r="G16" s="154">
        <f t="shared" si="1"/>
        <v>168.66096866096868</v>
      </c>
    </row>
    <row r="17" spans="1:9" ht="12" customHeight="1" x14ac:dyDescent="0.2">
      <c r="A17"/>
      <c r="B17" s="162" t="s">
        <v>295</v>
      </c>
      <c r="C17" s="236" t="s">
        <v>416</v>
      </c>
      <c r="D17" s="235">
        <v>385</v>
      </c>
      <c r="E17" s="235">
        <v>385</v>
      </c>
      <c r="F17" s="235">
        <v>682</v>
      </c>
      <c r="G17" s="154">
        <f t="shared" si="1"/>
        <v>177.14285714285714</v>
      </c>
    </row>
    <row r="18" spans="1:9" ht="13.5" x14ac:dyDescent="0.2">
      <c r="A18"/>
      <c r="B18" s="246" t="s">
        <v>296</v>
      </c>
      <c r="C18" s="247"/>
      <c r="D18" s="248">
        <v>7525</v>
      </c>
      <c r="E18" s="248">
        <v>7525</v>
      </c>
      <c r="F18" s="248">
        <v>11191</v>
      </c>
      <c r="G18" s="249">
        <f t="shared" si="1"/>
        <v>148.71760797342193</v>
      </c>
    </row>
    <row r="19" spans="1:9" x14ac:dyDescent="0.2">
      <c r="A19"/>
      <c r="B19" s="242" t="s">
        <v>297</v>
      </c>
      <c r="C19" s="243" t="s">
        <v>417</v>
      </c>
      <c r="D19" s="244">
        <v>310</v>
      </c>
      <c r="E19" s="244">
        <v>308</v>
      </c>
      <c r="F19" s="244">
        <v>284</v>
      </c>
      <c r="G19" s="245">
        <f t="shared" si="1"/>
        <v>92.20779220779221</v>
      </c>
    </row>
    <row r="20" spans="1:9" x14ac:dyDescent="0.2">
      <c r="A20"/>
      <c r="B20" s="162" t="s">
        <v>298</v>
      </c>
      <c r="C20" s="236" t="s">
        <v>416</v>
      </c>
      <c r="D20" s="235">
        <v>192</v>
      </c>
      <c r="E20" s="235">
        <v>192</v>
      </c>
      <c r="F20" s="235">
        <v>174</v>
      </c>
      <c r="G20" s="154">
        <f t="shared" si="1"/>
        <v>90.625</v>
      </c>
    </row>
    <row r="21" spans="1:9" x14ac:dyDescent="0.2">
      <c r="A21"/>
      <c r="B21" s="162" t="s">
        <v>298</v>
      </c>
      <c r="C21" s="236" t="s">
        <v>418</v>
      </c>
      <c r="D21" s="235">
        <v>537</v>
      </c>
      <c r="E21" s="235">
        <v>537</v>
      </c>
      <c r="F21" s="235">
        <v>451</v>
      </c>
      <c r="G21" s="154">
        <f t="shared" si="1"/>
        <v>83.985102420856606</v>
      </c>
    </row>
    <row r="22" spans="1:9" x14ac:dyDescent="0.2">
      <c r="A22"/>
      <c r="B22" s="162" t="s">
        <v>299</v>
      </c>
      <c r="C22" s="236" t="s">
        <v>419</v>
      </c>
      <c r="D22" s="235">
        <v>314</v>
      </c>
      <c r="E22" s="235">
        <v>235</v>
      </c>
      <c r="F22" s="235">
        <v>221</v>
      </c>
      <c r="G22" s="154">
        <f t="shared" si="1"/>
        <v>94.042553191489361</v>
      </c>
    </row>
    <row r="23" spans="1:9" x14ac:dyDescent="0.2">
      <c r="A23"/>
      <c r="B23" s="162" t="s">
        <v>347</v>
      </c>
      <c r="C23" s="236" t="s">
        <v>418</v>
      </c>
      <c r="D23" s="235">
        <v>28</v>
      </c>
      <c r="E23" s="235">
        <v>28</v>
      </c>
      <c r="F23" s="235">
        <v>25</v>
      </c>
      <c r="G23" s="154">
        <f t="shared" si="1"/>
        <v>89.285714285714292</v>
      </c>
    </row>
    <row r="24" spans="1:9" x14ac:dyDescent="0.2">
      <c r="A24"/>
      <c r="B24" s="162" t="s">
        <v>300</v>
      </c>
      <c r="C24" s="236" t="s">
        <v>420</v>
      </c>
      <c r="D24" s="235">
        <v>116</v>
      </c>
      <c r="E24" s="235">
        <v>116</v>
      </c>
      <c r="F24" s="235">
        <v>134</v>
      </c>
      <c r="G24" s="154">
        <f t="shared" si="1"/>
        <v>115.51724137931035</v>
      </c>
    </row>
    <row r="25" spans="1:9" x14ac:dyDescent="0.2">
      <c r="A25"/>
      <c r="B25" s="162" t="s">
        <v>300</v>
      </c>
      <c r="C25" s="236" t="s">
        <v>416</v>
      </c>
      <c r="D25" s="235">
        <v>60</v>
      </c>
      <c r="E25" s="235">
        <v>60</v>
      </c>
      <c r="F25" s="235">
        <v>80</v>
      </c>
      <c r="G25" s="154">
        <f t="shared" si="1"/>
        <v>133.33333333333331</v>
      </c>
    </row>
    <row r="26" spans="1:9" x14ac:dyDescent="0.2">
      <c r="A26"/>
      <c r="B26" s="162" t="s">
        <v>325</v>
      </c>
      <c r="C26" s="236" t="s">
        <v>421</v>
      </c>
      <c r="D26" s="235">
        <v>77</v>
      </c>
      <c r="E26" s="235">
        <v>77</v>
      </c>
      <c r="F26" s="235">
        <v>113</v>
      </c>
      <c r="G26" s="154">
        <f t="shared" si="1"/>
        <v>146.75324675324674</v>
      </c>
    </row>
    <row r="27" spans="1:9" x14ac:dyDescent="0.2">
      <c r="A27"/>
      <c r="B27" s="162" t="s">
        <v>325</v>
      </c>
      <c r="C27" s="236" t="s">
        <v>422</v>
      </c>
      <c r="D27" s="235">
        <v>48</v>
      </c>
      <c r="E27" s="235">
        <v>48</v>
      </c>
      <c r="F27" s="235">
        <v>103</v>
      </c>
      <c r="G27" s="154">
        <f t="shared" si="1"/>
        <v>214.58333333333334</v>
      </c>
    </row>
    <row r="28" spans="1:9" x14ac:dyDescent="0.2">
      <c r="A28"/>
      <c r="B28" s="162" t="s">
        <v>325</v>
      </c>
      <c r="C28" s="236" t="s">
        <v>417</v>
      </c>
      <c r="D28" s="235">
        <v>43</v>
      </c>
      <c r="E28" s="235">
        <v>43</v>
      </c>
      <c r="F28" s="235">
        <v>54</v>
      </c>
      <c r="G28" s="154">
        <f t="shared" si="1"/>
        <v>125.58139534883721</v>
      </c>
    </row>
    <row r="29" spans="1:9" x14ac:dyDescent="0.2">
      <c r="A29"/>
      <c r="B29" s="162" t="s">
        <v>301</v>
      </c>
      <c r="C29" s="236" t="s">
        <v>420</v>
      </c>
      <c r="D29" s="235">
        <v>27</v>
      </c>
      <c r="E29" s="235">
        <v>27</v>
      </c>
      <c r="F29" s="235">
        <v>29</v>
      </c>
      <c r="G29" s="154">
        <f t="shared" si="1"/>
        <v>107.40740740740742</v>
      </c>
    </row>
    <row r="30" spans="1:9" x14ac:dyDescent="0.2">
      <c r="A30"/>
      <c r="B30" s="162" t="s">
        <v>178</v>
      </c>
      <c r="C30" s="236" t="s">
        <v>423</v>
      </c>
      <c r="D30" s="235">
        <v>60</v>
      </c>
      <c r="E30" s="235">
        <v>60</v>
      </c>
      <c r="F30" s="235">
        <v>54</v>
      </c>
      <c r="G30" s="154">
        <f t="shared" si="1"/>
        <v>90</v>
      </c>
      <c r="H30" s="168"/>
      <c r="I30" s="168"/>
    </row>
    <row r="31" spans="1:9" x14ac:dyDescent="0.2">
      <c r="A31"/>
      <c r="B31" s="162" t="s">
        <v>348</v>
      </c>
      <c r="C31" s="236" t="s">
        <v>415</v>
      </c>
      <c r="D31" s="235">
        <v>57</v>
      </c>
      <c r="E31" s="235">
        <v>57</v>
      </c>
      <c r="F31" s="235">
        <v>29</v>
      </c>
      <c r="G31" s="154">
        <f t="shared" si="1"/>
        <v>50.877192982456144</v>
      </c>
      <c r="H31" s="168"/>
      <c r="I31" s="168"/>
    </row>
    <row r="32" spans="1:9" x14ac:dyDescent="0.2">
      <c r="A32"/>
      <c r="B32" s="162" t="s">
        <v>348</v>
      </c>
      <c r="C32" s="236" t="s">
        <v>418</v>
      </c>
      <c r="D32" s="235">
        <v>231</v>
      </c>
      <c r="E32" s="235">
        <v>231</v>
      </c>
      <c r="F32" s="235">
        <v>162</v>
      </c>
      <c r="G32" s="154">
        <f t="shared" si="1"/>
        <v>70.129870129870127</v>
      </c>
      <c r="H32" s="168"/>
      <c r="I32" s="168"/>
    </row>
    <row r="33" spans="1:7" ht="13.5" x14ac:dyDescent="0.2">
      <c r="A33"/>
      <c r="B33" s="246" t="s">
        <v>302</v>
      </c>
      <c r="C33" s="247"/>
      <c r="D33" s="248">
        <v>2100</v>
      </c>
      <c r="E33" s="248">
        <v>2019</v>
      </c>
      <c r="F33" s="248">
        <v>1913</v>
      </c>
      <c r="G33" s="249">
        <f t="shared" si="1"/>
        <v>94.749876176324904</v>
      </c>
    </row>
    <row r="34" spans="1:7" ht="13.5" x14ac:dyDescent="0.2">
      <c r="A34"/>
      <c r="B34" s="246" t="s">
        <v>303</v>
      </c>
      <c r="C34" s="247"/>
      <c r="D34" s="248">
        <v>9625</v>
      </c>
      <c r="E34" s="248">
        <v>9544</v>
      </c>
      <c r="F34" s="248">
        <v>13104</v>
      </c>
      <c r="G34" s="249">
        <f t="shared" si="1"/>
        <v>137.30092204526406</v>
      </c>
    </row>
    <row r="35" spans="1:7" x14ac:dyDescent="0.2">
      <c r="A35"/>
      <c r="B35" s="250" t="s">
        <v>179</v>
      </c>
      <c r="C35" s="251"/>
      <c r="D35" s="251"/>
      <c r="E35" s="251"/>
      <c r="F35" s="251"/>
      <c r="G35" s="251"/>
    </row>
    <row r="36" spans="1:7" x14ac:dyDescent="0.2">
      <c r="A36"/>
      <c r="B36" s="252" t="s">
        <v>189</v>
      </c>
      <c r="C36"/>
      <c r="D36"/>
      <c r="E36"/>
      <c r="F36"/>
      <c r="G36"/>
    </row>
    <row r="37" spans="1:7" x14ac:dyDescent="0.2">
      <c r="A37"/>
      <c r="B37" s="252" t="s">
        <v>232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G200"/>
  <sheetViews>
    <sheetView zoomScale="80" zoomScaleNormal="8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99"/>
      <c r="B1" s="61" t="s">
        <v>68</v>
      </c>
      <c r="C1" s="61"/>
      <c r="D1" s="61"/>
      <c r="E1" s="61"/>
    </row>
    <row r="2" spans="1:7" ht="18.75" x14ac:dyDescent="0.2">
      <c r="A2" s="99"/>
      <c r="B2" s="61" t="s">
        <v>188</v>
      </c>
      <c r="C2" s="61"/>
      <c r="D2" s="61"/>
      <c r="E2" s="61"/>
      <c r="F2" s="61" t="s">
        <v>424</v>
      </c>
      <c r="G2" s="61"/>
    </row>
    <row r="3" spans="1:7" ht="9" customHeight="1" x14ac:dyDescent="0.2">
      <c r="A3" s="99"/>
      <c r="B3" s="99"/>
      <c r="C3" s="99"/>
      <c r="D3" s="99"/>
      <c r="E3" s="99"/>
    </row>
    <row r="4" spans="1:7" ht="15" x14ac:dyDescent="0.2">
      <c r="A4" s="64" t="s">
        <v>131</v>
      </c>
      <c r="B4" s="65" t="str">
        <f>couverture!D15</f>
        <v xml:space="preserve">1er juillet 2014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juillet 2014 </v>
      </c>
      <c r="C6" s="70"/>
      <c r="D6" s="70"/>
      <c r="E6" s="70"/>
      <c r="F6" s="206"/>
      <c r="G6" s="206"/>
    </row>
    <row r="7" spans="1:7" ht="9" customHeight="1" x14ac:dyDescent="0.2">
      <c r="B7" s="180" t="s">
        <v>152</v>
      </c>
    </row>
    <row r="8" spans="1:7" ht="55.5" customHeight="1" x14ac:dyDescent="0.2"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B9" s="233" t="s">
        <v>294</v>
      </c>
      <c r="C9" s="234" t="s">
        <v>425</v>
      </c>
      <c r="D9" s="240">
        <v>266</v>
      </c>
      <c r="E9" s="240">
        <v>266</v>
      </c>
      <c r="F9" s="240">
        <v>384</v>
      </c>
      <c r="G9" s="241">
        <f t="shared" ref="G9" si="0">IF(E9=0,0,F9/E9*100)</f>
        <v>144.36090225563908</v>
      </c>
    </row>
    <row r="10" spans="1:7" x14ac:dyDescent="0.2">
      <c r="A10"/>
      <c r="B10" s="162" t="s">
        <v>294</v>
      </c>
      <c r="C10" s="236" t="s">
        <v>426</v>
      </c>
      <c r="D10" s="235">
        <v>254</v>
      </c>
      <c r="E10" s="235">
        <v>254</v>
      </c>
      <c r="F10" s="235">
        <v>336</v>
      </c>
      <c r="G10" s="154">
        <f t="shared" ref="G10:G40" si="1">IF(E10=0,0,F10/E10*100)</f>
        <v>132.28346456692915</v>
      </c>
    </row>
    <row r="11" spans="1:7" x14ac:dyDescent="0.2">
      <c r="A11"/>
      <c r="B11" s="162" t="s">
        <v>294</v>
      </c>
      <c r="C11" s="236" t="s">
        <v>427</v>
      </c>
      <c r="D11" s="235">
        <v>269</v>
      </c>
      <c r="E11" s="235">
        <v>269</v>
      </c>
      <c r="F11" s="235">
        <v>398</v>
      </c>
      <c r="G11" s="154">
        <f t="shared" si="1"/>
        <v>147.95539033457251</v>
      </c>
    </row>
    <row r="12" spans="1:7" x14ac:dyDescent="0.2">
      <c r="A12"/>
      <c r="B12" s="162" t="s">
        <v>294</v>
      </c>
      <c r="C12" s="236" t="s">
        <v>428</v>
      </c>
      <c r="D12" s="235">
        <v>46</v>
      </c>
      <c r="E12" s="235">
        <v>46</v>
      </c>
      <c r="F12" s="235">
        <v>91</v>
      </c>
      <c r="G12" s="154">
        <f t="shared" si="1"/>
        <v>197.82608695652172</v>
      </c>
    </row>
    <row r="13" spans="1:7" x14ac:dyDescent="0.2">
      <c r="A13"/>
      <c r="B13" s="162" t="s">
        <v>294</v>
      </c>
      <c r="C13" s="236" t="s">
        <v>429</v>
      </c>
      <c r="D13" s="235">
        <v>48</v>
      </c>
      <c r="E13" s="235">
        <v>48</v>
      </c>
      <c r="F13" s="235">
        <v>86</v>
      </c>
      <c r="G13" s="154">
        <f t="shared" si="1"/>
        <v>179.16666666666669</v>
      </c>
    </row>
    <row r="14" spans="1:7" x14ac:dyDescent="0.2">
      <c r="A14"/>
      <c r="B14" s="162" t="s">
        <v>294</v>
      </c>
      <c r="C14" s="236" t="s">
        <v>430</v>
      </c>
      <c r="D14" s="235">
        <v>39</v>
      </c>
      <c r="E14" s="235">
        <v>39</v>
      </c>
      <c r="F14" s="235">
        <v>80</v>
      </c>
      <c r="G14" s="154">
        <f t="shared" si="1"/>
        <v>205.12820512820511</v>
      </c>
    </row>
    <row r="15" spans="1:7" x14ac:dyDescent="0.2">
      <c r="A15"/>
      <c r="B15" s="162" t="s">
        <v>294</v>
      </c>
      <c r="C15" s="236" t="s">
        <v>431</v>
      </c>
      <c r="D15" s="235">
        <v>39</v>
      </c>
      <c r="E15" s="235">
        <v>39</v>
      </c>
      <c r="F15" s="235">
        <v>80</v>
      </c>
      <c r="G15" s="154">
        <f t="shared" si="1"/>
        <v>205.12820512820511</v>
      </c>
    </row>
    <row r="16" spans="1:7" x14ac:dyDescent="0.2">
      <c r="A16"/>
      <c r="B16" s="162" t="s">
        <v>294</v>
      </c>
      <c r="C16" s="236" t="s">
        <v>432</v>
      </c>
      <c r="D16" s="235">
        <v>71</v>
      </c>
      <c r="E16" s="235">
        <v>71</v>
      </c>
      <c r="F16" s="235">
        <v>128</v>
      </c>
      <c r="G16" s="154">
        <f t="shared" si="1"/>
        <v>180.28169014084509</v>
      </c>
    </row>
    <row r="17" spans="1:7" x14ac:dyDescent="0.2">
      <c r="A17"/>
      <c r="B17" s="162" t="s">
        <v>294</v>
      </c>
      <c r="C17" s="236" t="s">
        <v>433</v>
      </c>
      <c r="D17" s="235">
        <v>401</v>
      </c>
      <c r="E17" s="235">
        <v>401</v>
      </c>
      <c r="F17" s="235">
        <v>499</v>
      </c>
      <c r="G17" s="154">
        <f t="shared" si="1"/>
        <v>124.43890274314215</v>
      </c>
    </row>
    <row r="18" spans="1:7" x14ac:dyDescent="0.2">
      <c r="A18"/>
      <c r="B18" s="162" t="s">
        <v>294</v>
      </c>
      <c r="C18" s="236" t="s">
        <v>434</v>
      </c>
      <c r="D18" s="235">
        <v>92</v>
      </c>
      <c r="E18" s="235">
        <v>92</v>
      </c>
      <c r="F18" s="235">
        <v>118</v>
      </c>
      <c r="G18" s="154">
        <f t="shared" si="1"/>
        <v>128.26086956521738</v>
      </c>
    </row>
    <row r="19" spans="1:7" x14ac:dyDescent="0.2">
      <c r="A19"/>
      <c r="B19" s="162" t="s">
        <v>294</v>
      </c>
      <c r="C19" s="236" t="s">
        <v>435</v>
      </c>
      <c r="D19" s="235">
        <v>85</v>
      </c>
      <c r="E19" s="235">
        <v>85</v>
      </c>
      <c r="F19" s="235">
        <v>163</v>
      </c>
      <c r="G19" s="154">
        <f t="shared" si="1"/>
        <v>191.76470588235296</v>
      </c>
    </row>
    <row r="20" spans="1:7" x14ac:dyDescent="0.2">
      <c r="A20"/>
      <c r="B20" s="162" t="s">
        <v>294</v>
      </c>
      <c r="C20" s="236" t="s">
        <v>436</v>
      </c>
      <c r="D20" s="235">
        <v>52</v>
      </c>
      <c r="E20" s="235">
        <v>52</v>
      </c>
      <c r="F20" s="235">
        <v>91</v>
      </c>
      <c r="G20" s="154">
        <f t="shared" si="1"/>
        <v>175</v>
      </c>
    </row>
    <row r="21" spans="1:7" x14ac:dyDescent="0.2">
      <c r="A21"/>
      <c r="B21" s="162" t="s">
        <v>295</v>
      </c>
      <c r="C21" s="236" t="s">
        <v>427</v>
      </c>
      <c r="D21" s="235">
        <v>6</v>
      </c>
      <c r="E21" s="235">
        <v>6</v>
      </c>
      <c r="F21" s="235">
        <v>3</v>
      </c>
      <c r="G21" s="154">
        <f t="shared" si="1"/>
        <v>50</v>
      </c>
    </row>
    <row r="22" spans="1:7" x14ac:dyDescent="0.2">
      <c r="A22"/>
      <c r="B22" s="162" t="s">
        <v>295</v>
      </c>
      <c r="C22" s="236" t="s">
        <v>437</v>
      </c>
      <c r="D22" s="235">
        <v>198</v>
      </c>
      <c r="E22" s="235">
        <v>198</v>
      </c>
      <c r="F22" s="235">
        <v>285</v>
      </c>
      <c r="G22" s="154">
        <f t="shared" si="1"/>
        <v>143.93939393939394</v>
      </c>
    </row>
    <row r="23" spans="1:7" x14ac:dyDescent="0.2">
      <c r="A23"/>
      <c r="B23" s="162" t="s">
        <v>295</v>
      </c>
      <c r="C23" s="236" t="s">
        <v>438</v>
      </c>
      <c r="D23" s="235">
        <v>570</v>
      </c>
      <c r="E23" s="235">
        <v>570</v>
      </c>
      <c r="F23" s="235">
        <v>666</v>
      </c>
      <c r="G23" s="154">
        <f t="shared" si="1"/>
        <v>116.8421052631579</v>
      </c>
    </row>
    <row r="24" spans="1:7" x14ac:dyDescent="0.2">
      <c r="A24"/>
      <c r="B24" s="162" t="s">
        <v>295</v>
      </c>
      <c r="C24" s="236" t="s">
        <v>206</v>
      </c>
      <c r="D24" s="235">
        <v>63</v>
      </c>
      <c r="E24" s="235">
        <v>63</v>
      </c>
      <c r="F24" s="235">
        <v>53</v>
      </c>
      <c r="G24" s="154">
        <f t="shared" si="1"/>
        <v>84.126984126984127</v>
      </c>
    </row>
    <row r="25" spans="1:7" x14ac:dyDescent="0.2">
      <c r="A25"/>
      <c r="B25" s="162" t="s">
        <v>295</v>
      </c>
      <c r="C25" s="236" t="s">
        <v>439</v>
      </c>
      <c r="D25" s="235">
        <v>480</v>
      </c>
      <c r="E25" s="235">
        <v>480</v>
      </c>
      <c r="F25" s="235">
        <v>634</v>
      </c>
      <c r="G25" s="154">
        <f t="shared" si="1"/>
        <v>132.08333333333334</v>
      </c>
    </row>
    <row r="26" spans="1:7" ht="13.5" x14ac:dyDescent="0.2">
      <c r="A26"/>
      <c r="B26" s="246" t="s">
        <v>296</v>
      </c>
      <c r="C26" s="247"/>
      <c r="D26" s="248">
        <v>2979</v>
      </c>
      <c r="E26" s="248">
        <v>2979</v>
      </c>
      <c r="F26" s="248">
        <v>4095</v>
      </c>
      <c r="G26" s="249">
        <f t="shared" si="1"/>
        <v>137.46223564954681</v>
      </c>
    </row>
    <row r="27" spans="1:7" x14ac:dyDescent="0.2">
      <c r="A27"/>
      <c r="B27" s="242" t="s">
        <v>297</v>
      </c>
      <c r="C27" s="243" t="s">
        <v>440</v>
      </c>
      <c r="D27" s="244">
        <v>638</v>
      </c>
      <c r="E27" s="244">
        <v>638</v>
      </c>
      <c r="F27" s="244">
        <v>600</v>
      </c>
      <c r="G27" s="245">
        <f t="shared" si="1"/>
        <v>94.043887147335425</v>
      </c>
    </row>
    <row r="28" spans="1:7" x14ac:dyDescent="0.2">
      <c r="A28"/>
      <c r="B28" s="162" t="s">
        <v>298</v>
      </c>
      <c r="C28" s="236" t="s">
        <v>427</v>
      </c>
      <c r="D28" s="235">
        <v>448</v>
      </c>
      <c r="E28" s="235">
        <v>422</v>
      </c>
      <c r="F28" s="235">
        <v>364</v>
      </c>
      <c r="G28" s="154">
        <f t="shared" si="1"/>
        <v>86.255924170616112</v>
      </c>
    </row>
    <row r="29" spans="1:7" x14ac:dyDescent="0.2">
      <c r="A29"/>
      <c r="B29" s="162" t="s">
        <v>298</v>
      </c>
      <c r="C29" s="236" t="s">
        <v>437</v>
      </c>
      <c r="D29" s="235">
        <v>40</v>
      </c>
      <c r="E29" s="235">
        <v>40</v>
      </c>
      <c r="F29" s="235">
        <v>37</v>
      </c>
      <c r="G29" s="154">
        <f t="shared" si="1"/>
        <v>92.5</v>
      </c>
    </row>
    <row r="30" spans="1:7" x14ac:dyDescent="0.2">
      <c r="A30"/>
      <c r="B30" s="162" t="s">
        <v>298</v>
      </c>
      <c r="C30" s="236" t="s">
        <v>438</v>
      </c>
      <c r="D30" s="235">
        <v>510</v>
      </c>
      <c r="E30" s="235">
        <v>414</v>
      </c>
      <c r="F30" s="235">
        <v>399</v>
      </c>
      <c r="G30" s="154">
        <f t="shared" si="1"/>
        <v>96.376811594202891</v>
      </c>
    </row>
    <row r="31" spans="1:7" x14ac:dyDescent="0.2">
      <c r="A31"/>
      <c r="B31" s="162" t="s">
        <v>298</v>
      </c>
      <c r="C31" s="236" t="s">
        <v>206</v>
      </c>
      <c r="D31" s="235">
        <v>232</v>
      </c>
      <c r="E31" s="235">
        <v>232</v>
      </c>
      <c r="F31" s="235">
        <v>187</v>
      </c>
      <c r="G31" s="154">
        <f t="shared" si="1"/>
        <v>80.603448275862064</v>
      </c>
    </row>
    <row r="32" spans="1:7" x14ac:dyDescent="0.2">
      <c r="A32"/>
      <c r="B32" s="162" t="s">
        <v>298</v>
      </c>
      <c r="C32" s="236" t="s">
        <v>439</v>
      </c>
      <c r="D32" s="235">
        <v>210</v>
      </c>
      <c r="E32" s="235">
        <v>210</v>
      </c>
      <c r="F32" s="235">
        <v>199</v>
      </c>
      <c r="G32" s="154">
        <f t="shared" si="1"/>
        <v>94.761904761904759</v>
      </c>
    </row>
    <row r="33" spans="1:7" x14ac:dyDescent="0.2">
      <c r="A33"/>
      <c r="B33" s="162" t="s">
        <v>347</v>
      </c>
      <c r="C33" s="236" t="s">
        <v>441</v>
      </c>
      <c r="D33" s="235">
        <v>204</v>
      </c>
      <c r="E33" s="235">
        <v>204</v>
      </c>
      <c r="F33" s="235">
        <v>71</v>
      </c>
      <c r="G33" s="154">
        <f t="shared" si="1"/>
        <v>34.803921568627452</v>
      </c>
    </row>
    <row r="34" spans="1:7" x14ac:dyDescent="0.2">
      <c r="A34"/>
      <c r="B34" s="162" t="s">
        <v>300</v>
      </c>
      <c r="C34" s="236" t="s">
        <v>441</v>
      </c>
      <c r="D34" s="235">
        <v>45</v>
      </c>
      <c r="E34" s="235">
        <v>45</v>
      </c>
      <c r="F34" s="235">
        <v>23</v>
      </c>
      <c r="G34" s="154">
        <f t="shared" si="1"/>
        <v>51.111111111111107</v>
      </c>
    </row>
    <row r="35" spans="1:7" x14ac:dyDescent="0.2">
      <c r="A35"/>
      <c r="B35" s="162" t="s">
        <v>301</v>
      </c>
      <c r="C35" s="236" t="s">
        <v>427</v>
      </c>
      <c r="D35" s="235">
        <v>50</v>
      </c>
      <c r="E35" s="235">
        <v>50</v>
      </c>
      <c r="F35" s="235">
        <v>36</v>
      </c>
      <c r="G35" s="154">
        <f t="shared" si="1"/>
        <v>72</v>
      </c>
    </row>
    <row r="36" spans="1:7" x14ac:dyDescent="0.2">
      <c r="A36"/>
      <c r="B36" s="162" t="s">
        <v>301</v>
      </c>
      <c r="C36" s="236" t="s">
        <v>438</v>
      </c>
      <c r="D36" s="235">
        <v>36</v>
      </c>
      <c r="E36" s="235">
        <v>36</v>
      </c>
      <c r="F36" s="235">
        <v>28</v>
      </c>
      <c r="G36" s="154">
        <f t="shared" si="1"/>
        <v>77.777777777777786</v>
      </c>
    </row>
    <row r="37" spans="1:7" s="180" customFormat="1" x14ac:dyDescent="0.2">
      <c r="A37"/>
      <c r="B37" s="162" t="s">
        <v>301</v>
      </c>
      <c r="C37" s="236" t="s">
        <v>439</v>
      </c>
      <c r="D37" s="235">
        <v>26</v>
      </c>
      <c r="E37" s="235">
        <v>26</v>
      </c>
      <c r="F37" s="235">
        <v>12</v>
      </c>
      <c r="G37" s="154">
        <f t="shared" si="1"/>
        <v>46.153846153846153</v>
      </c>
    </row>
    <row r="38" spans="1:7" s="180" customFormat="1" x14ac:dyDescent="0.2">
      <c r="A38"/>
      <c r="B38" s="162" t="s">
        <v>178</v>
      </c>
      <c r="C38" s="236" t="s">
        <v>442</v>
      </c>
      <c r="D38" s="235">
        <v>59</v>
      </c>
      <c r="E38" s="235">
        <v>55</v>
      </c>
      <c r="F38" s="235">
        <v>39</v>
      </c>
      <c r="G38" s="154">
        <f t="shared" si="1"/>
        <v>70.909090909090907</v>
      </c>
    </row>
    <row r="39" spans="1:7" ht="13.5" x14ac:dyDescent="0.2">
      <c r="A39"/>
      <c r="B39" s="246" t="s">
        <v>302</v>
      </c>
      <c r="C39" s="247"/>
      <c r="D39" s="248">
        <v>2498</v>
      </c>
      <c r="E39" s="248">
        <v>2372</v>
      </c>
      <c r="F39" s="248">
        <v>1995</v>
      </c>
      <c r="G39" s="249">
        <f t="shared" si="1"/>
        <v>84.106239460370986</v>
      </c>
    </row>
    <row r="40" spans="1:7" ht="13.5" x14ac:dyDescent="0.2">
      <c r="A40"/>
      <c r="B40" s="246" t="s">
        <v>303</v>
      </c>
      <c r="C40" s="247"/>
      <c r="D40" s="248">
        <v>5477</v>
      </c>
      <c r="E40" s="248">
        <v>5351</v>
      </c>
      <c r="F40" s="248">
        <v>6090</v>
      </c>
      <c r="G40" s="249">
        <f t="shared" si="1"/>
        <v>113.81050270977386</v>
      </c>
    </row>
    <row r="41" spans="1:7" x14ac:dyDescent="0.2">
      <c r="A41"/>
      <c r="B41" s="250" t="s">
        <v>179</v>
      </c>
      <c r="C41" s="251"/>
      <c r="D41" s="251"/>
      <c r="E41" s="251"/>
      <c r="F41" s="251"/>
      <c r="G41" s="251"/>
    </row>
    <row r="42" spans="1:7" x14ac:dyDescent="0.2">
      <c r="A42"/>
      <c r="B42" s="252" t="s">
        <v>189</v>
      </c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&amp;LStatistiques mensuelles
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zoomScale="80" zoomScaleNormal="8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99"/>
      <c r="B1" s="61" t="s">
        <v>71</v>
      </c>
      <c r="C1" s="61"/>
      <c r="D1" s="61"/>
      <c r="E1" s="61"/>
    </row>
    <row r="2" spans="1:7" ht="18.75" x14ac:dyDescent="0.2">
      <c r="A2" s="99"/>
      <c r="B2" s="61" t="s">
        <v>188</v>
      </c>
      <c r="C2" s="61"/>
      <c r="D2" s="61"/>
      <c r="E2" s="61"/>
      <c r="F2" s="61" t="s">
        <v>443</v>
      </c>
      <c r="G2" s="61"/>
    </row>
    <row r="3" spans="1:7" ht="9" customHeight="1" x14ac:dyDescent="0.2">
      <c r="A3" s="99"/>
      <c r="B3" s="99"/>
      <c r="C3" s="99"/>
      <c r="D3" s="99"/>
      <c r="E3" s="99"/>
    </row>
    <row r="4" spans="1:7" ht="15" x14ac:dyDescent="0.2">
      <c r="A4" s="64" t="s">
        <v>131</v>
      </c>
      <c r="B4" s="65" t="str">
        <f>couverture!D15</f>
        <v xml:space="preserve">1er juillet 2014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juillet 2014 </v>
      </c>
      <c r="C6" s="70"/>
      <c r="D6" s="70"/>
      <c r="E6" s="70"/>
      <c r="F6" s="206"/>
      <c r="G6" s="206"/>
    </row>
    <row r="7" spans="1:7" ht="9" customHeight="1" x14ac:dyDescent="0.2">
      <c r="B7" s="180" t="s">
        <v>152</v>
      </c>
    </row>
    <row r="8" spans="1:7" ht="25.5" x14ac:dyDescent="0.2"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B9" s="233" t="s">
        <v>294</v>
      </c>
      <c r="C9" s="234" t="s">
        <v>444</v>
      </c>
      <c r="D9" s="240">
        <v>73</v>
      </c>
      <c r="E9" s="240">
        <v>73</v>
      </c>
      <c r="F9" s="240">
        <v>76</v>
      </c>
      <c r="G9" s="241">
        <f t="shared" ref="G9" si="0">IF(E9=0,0,F9/E9*100)</f>
        <v>104.10958904109589</v>
      </c>
    </row>
    <row r="10" spans="1:7" x14ac:dyDescent="0.2">
      <c r="A10"/>
      <c r="B10" s="162" t="s">
        <v>294</v>
      </c>
      <c r="C10" s="236" t="s">
        <v>445</v>
      </c>
      <c r="D10" s="235">
        <v>39</v>
      </c>
      <c r="E10" s="235">
        <v>39</v>
      </c>
      <c r="F10" s="235">
        <v>47</v>
      </c>
      <c r="G10" s="154">
        <f t="shared" ref="G10:G37" si="1">IF(E10=0,0,F10/E10*100)</f>
        <v>120.51282051282051</v>
      </c>
    </row>
    <row r="11" spans="1:7" x14ac:dyDescent="0.2">
      <c r="A11"/>
      <c r="B11" s="162" t="s">
        <v>294</v>
      </c>
      <c r="C11" s="236" t="s">
        <v>446</v>
      </c>
      <c r="D11" s="235">
        <v>275</v>
      </c>
      <c r="E11" s="235">
        <v>255</v>
      </c>
      <c r="F11" s="235">
        <v>286</v>
      </c>
      <c r="G11" s="154">
        <f t="shared" si="1"/>
        <v>112.15686274509804</v>
      </c>
    </row>
    <row r="12" spans="1:7" x14ac:dyDescent="0.2">
      <c r="A12"/>
      <c r="B12" s="162" t="s">
        <v>294</v>
      </c>
      <c r="C12" s="236" t="s">
        <v>447</v>
      </c>
      <c r="D12" s="235">
        <v>120</v>
      </c>
      <c r="E12" s="235">
        <v>120</v>
      </c>
      <c r="F12" s="235">
        <v>188</v>
      </c>
      <c r="G12" s="154">
        <f t="shared" si="1"/>
        <v>156.66666666666666</v>
      </c>
    </row>
    <row r="13" spans="1:7" x14ac:dyDescent="0.2">
      <c r="A13"/>
      <c r="B13" s="162" t="s">
        <v>294</v>
      </c>
      <c r="C13" s="236" t="s">
        <v>448</v>
      </c>
      <c r="D13" s="235">
        <v>294</v>
      </c>
      <c r="E13" s="235">
        <v>294</v>
      </c>
      <c r="F13" s="235">
        <v>279</v>
      </c>
      <c r="G13" s="154">
        <f t="shared" si="1"/>
        <v>94.897959183673478</v>
      </c>
    </row>
    <row r="14" spans="1:7" x14ac:dyDescent="0.2">
      <c r="A14"/>
      <c r="B14" s="162" t="s">
        <v>294</v>
      </c>
      <c r="C14" s="236" t="s">
        <v>449</v>
      </c>
      <c r="D14" s="235">
        <v>39</v>
      </c>
      <c r="E14" s="235">
        <v>39</v>
      </c>
      <c r="F14" s="235">
        <v>53</v>
      </c>
      <c r="G14" s="154">
        <f t="shared" si="1"/>
        <v>135.89743589743591</v>
      </c>
    </row>
    <row r="15" spans="1:7" x14ac:dyDescent="0.2">
      <c r="A15"/>
      <c r="B15" s="162" t="s">
        <v>294</v>
      </c>
      <c r="C15" s="236" t="s">
        <v>450</v>
      </c>
      <c r="D15" s="235">
        <v>73</v>
      </c>
      <c r="E15" s="235">
        <v>0</v>
      </c>
      <c r="F15" s="235">
        <v>0</v>
      </c>
      <c r="G15" s="154">
        <f t="shared" si="1"/>
        <v>0</v>
      </c>
    </row>
    <row r="16" spans="1:7" x14ac:dyDescent="0.2">
      <c r="A16"/>
      <c r="B16" s="162" t="s">
        <v>294</v>
      </c>
      <c r="C16" s="236" t="s">
        <v>451</v>
      </c>
      <c r="D16" s="235">
        <v>41</v>
      </c>
      <c r="E16" s="235">
        <v>41</v>
      </c>
      <c r="F16" s="235">
        <v>54</v>
      </c>
      <c r="G16" s="154">
        <f t="shared" si="1"/>
        <v>131.70731707317074</v>
      </c>
    </row>
    <row r="17" spans="1:7" x14ac:dyDescent="0.2">
      <c r="A17"/>
      <c r="B17" s="162" t="s">
        <v>294</v>
      </c>
      <c r="C17" s="236" t="s">
        <v>452</v>
      </c>
      <c r="D17" s="235">
        <v>283</v>
      </c>
      <c r="E17" s="235">
        <v>283</v>
      </c>
      <c r="F17" s="235">
        <v>390</v>
      </c>
      <c r="G17" s="154">
        <f t="shared" si="1"/>
        <v>137.80918727915196</v>
      </c>
    </row>
    <row r="18" spans="1:7" x14ac:dyDescent="0.2">
      <c r="A18"/>
      <c r="B18" s="162" t="s">
        <v>294</v>
      </c>
      <c r="C18" s="236" t="s">
        <v>453</v>
      </c>
      <c r="D18" s="235">
        <v>71</v>
      </c>
      <c r="E18" s="235">
        <v>71</v>
      </c>
      <c r="F18" s="235">
        <v>96</v>
      </c>
      <c r="G18" s="154">
        <f t="shared" si="1"/>
        <v>135.21126760563379</v>
      </c>
    </row>
    <row r="19" spans="1:7" x14ac:dyDescent="0.2">
      <c r="A19"/>
      <c r="B19" s="162" t="s">
        <v>294</v>
      </c>
      <c r="C19" s="236" t="s">
        <v>207</v>
      </c>
      <c r="D19" s="235">
        <v>445</v>
      </c>
      <c r="E19" s="235">
        <v>445</v>
      </c>
      <c r="F19" s="235">
        <v>758</v>
      </c>
      <c r="G19" s="154">
        <f t="shared" si="1"/>
        <v>170.3370786516854</v>
      </c>
    </row>
    <row r="20" spans="1:7" x14ac:dyDescent="0.2">
      <c r="A20"/>
      <c r="B20" s="162" t="s">
        <v>294</v>
      </c>
      <c r="C20" s="236" t="s">
        <v>454</v>
      </c>
      <c r="D20" s="235">
        <v>50</v>
      </c>
      <c r="E20" s="235">
        <v>50</v>
      </c>
      <c r="F20" s="235">
        <v>34</v>
      </c>
      <c r="G20" s="154">
        <f t="shared" si="1"/>
        <v>68</v>
      </c>
    </row>
    <row r="21" spans="1:7" x14ac:dyDescent="0.2">
      <c r="A21"/>
      <c r="B21" s="162" t="s">
        <v>295</v>
      </c>
      <c r="C21" s="236" t="s">
        <v>455</v>
      </c>
      <c r="D21" s="235">
        <v>404</v>
      </c>
      <c r="E21" s="235">
        <v>404</v>
      </c>
      <c r="F21" s="235">
        <v>572</v>
      </c>
      <c r="G21" s="154">
        <f t="shared" si="1"/>
        <v>141.58415841584159</v>
      </c>
    </row>
    <row r="22" spans="1:7" x14ac:dyDescent="0.2">
      <c r="A22"/>
      <c r="B22" s="162" t="s">
        <v>295</v>
      </c>
      <c r="C22" s="236" t="s">
        <v>456</v>
      </c>
      <c r="D22" s="235">
        <v>452</v>
      </c>
      <c r="E22" s="235">
        <v>452</v>
      </c>
      <c r="F22" s="235">
        <v>625</v>
      </c>
      <c r="G22" s="154">
        <f t="shared" si="1"/>
        <v>138.27433628318585</v>
      </c>
    </row>
    <row r="23" spans="1:7" ht="13.5" x14ac:dyDescent="0.2">
      <c r="A23"/>
      <c r="B23" s="246" t="s">
        <v>296</v>
      </c>
      <c r="C23" s="247"/>
      <c r="D23" s="248">
        <v>2659</v>
      </c>
      <c r="E23" s="248">
        <v>2566</v>
      </c>
      <c r="F23" s="248">
        <v>3458</v>
      </c>
      <c r="G23" s="249">
        <f t="shared" si="1"/>
        <v>134.76227591582227</v>
      </c>
    </row>
    <row r="24" spans="1:7" x14ac:dyDescent="0.2">
      <c r="A24"/>
      <c r="B24" s="242" t="s">
        <v>297</v>
      </c>
      <c r="C24" s="243" t="s">
        <v>457</v>
      </c>
      <c r="D24" s="244">
        <v>269</v>
      </c>
      <c r="E24" s="244">
        <v>269</v>
      </c>
      <c r="F24" s="244">
        <v>237</v>
      </c>
      <c r="G24" s="245">
        <f t="shared" si="1"/>
        <v>88.104089219330845</v>
      </c>
    </row>
    <row r="25" spans="1:7" x14ac:dyDescent="0.2">
      <c r="A25"/>
      <c r="B25" s="162" t="s">
        <v>297</v>
      </c>
      <c r="C25" s="236" t="s">
        <v>458</v>
      </c>
      <c r="D25" s="235">
        <v>366</v>
      </c>
      <c r="E25" s="235">
        <v>326</v>
      </c>
      <c r="F25" s="235">
        <v>276</v>
      </c>
      <c r="G25" s="154">
        <f t="shared" si="1"/>
        <v>84.662576687116569</v>
      </c>
    </row>
    <row r="26" spans="1:7" x14ac:dyDescent="0.2">
      <c r="A26"/>
      <c r="B26" s="162" t="s">
        <v>297</v>
      </c>
      <c r="C26" s="236" t="s">
        <v>459</v>
      </c>
      <c r="D26" s="235">
        <v>268</v>
      </c>
      <c r="E26" s="235">
        <v>263</v>
      </c>
      <c r="F26" s="235">
        <v>258</v>
      </c>
      <c r="G26" s="154">
        <f t="shared" si="1"/>
        <v>98.098859315589351</v>
      </c>
    </row>
    <row r="27" spans="1:7" x14ac:dyDescent="0.2">
      <c r="A27"/>
      <c r="B27" s="162" t="s">
        <v>297</v>
      </c>
      <c r="C27" s="236" t="s">
        <v>460</v>
      </c>
      <c r="D27" s="235">
        <v>400</v>
      </c>
      <c r="E27" s="235">
        <v>400</v>
      </c>
      <c r="F27" s="235">
        <v>360</v>
      </c>
      <c r="G27" s="154">
        <f t="shared" si="1"/>
        <v>90</v>
      </c>
    </row>
    <row r="28" spans="1:7" x14ac:dyDescent="0.2">
      <c r="A28"/>
      <c r="B28" s="162" t="s">
        <v>297</v>
      </c>
      <c r="C28" s="236" t="s">
        <v>461</v>
      </c>
      <c r="D28" s="235">
        <v>429</v>
      </c>
      <c r="E28" s="235">
        <v>429</v>
      </c>
      <c r="F28" s="235">
        <v>405</v>
      </c>
      <c r="G28" s="154">
        <f t="shared" si="1"/>
        <v>94.4055944055944</v>
      </c>
    </row>
    <row r="29" spans="1:7" x14ac:dyDescent="0.2">
      <c r="A29"/>
      <c r="B29" s="162" t="s">
        <v>298</v>
      </c>
      <c r="C29" s="236" t="s">
        <v>456</v>
      </c>
      <c r="D29" s="235">
        <v>240</v>
      </c>
      <c r="E29" s="235">
        <v>240</v>
      </c>
      <c r="F29" s="235">
        <v>217</v>
      </c>
      <c r="G29" s="154">
        <f t="shared" si="1"/>
        <v>90.416666666666671</v>
      </c>
    </row>
    <row r="30" spans="1:7" x14ac:dyDescent="0.2">
      <c r="A30"/>
      <c r="B30" s="162" t="s">
        <v>299</v>
      </c>
      <c r="C30" s="236" t="s">
        <v>462</v>
      </c>
      <c r="D30" s="235">
        <v>215</v>
      </c>
      <c r="E30" s="235">
        <v>200</v>
      </c>
      <c r="F30" s="235">
        <v>190</v>
      </c>
      <c r="G30" s="154">
        <f t="shared" si="1"/>
        <v>95</v>
      </c>
    </row>
    <row r="31" spans="1:7" x14ac:dyDescent="0.2">
      <c r="A31"/>
      <c r="B31" s="162" t="s">
        <v>300</v>
      </c>
      <c r="C31" s="236" t="s">
        <v>455</v>
      </c>
      <c r="D31" s="235">
        <v>77</v>
      </c>
      <c r="E31" s="235">
        <v>77</v>
      </c>
      <c r="F31" s="235">
        <v>52</v>
      </c>
      <c r="G31" s="154">
        <f t="shared" si="1"/>
        <v>67.532467532467535</v>
      </c>
    </row>
    <row r="32" spans="1:7" x14ac:dyDescent="0.2">
      <c r="A32"/>
      <c r="B32" s="162" t="s">
        <v>325</v>
      </c>
      <c r="C32" s="236" t="s">
        <v>446</v>
      </c>
      <c r="D32" s="235">
        <v>23</v>
      </c>
      <c r="E32" s="235">
        <v>23</v>
      </c>
      <c r="F32" s="235">
        <v>11</v>
      </c>
      <c r="G32" s="154">
        <f t="shared" si="1"/>
        <v>47.826086956521742</v>
      </c>
    </row>
    <row r="33" spans="1:7" x14ac:dyDescent="0.2">
      <c r="A33"/>
      <c r="B33" s="162" t="s">
        <v>325</v>
      </c>
      <c r="C33" s="236" t="s">
        <v>463</v>
      </c>
      <c r="D33" s="235">
        <v>25</v>
      </c>
      <c r="E33" s="235">
        <v>25</v>
      </c>
      <c r="F33" s="235">
        <v>14</v>
      </c>
      <c r="G33" s="154">
        <f t="shared" si="1"/>
        <v>56.000000000000007</v>
      </c>
    </row>
    <row r="34" spans="1:7" x14ac:dyDescent="0.2">
      <c r="A34"/>
      <c r="B34" s="162" t="s">
        <v>325</v>
      </c>
      <c r="C34" s="236" t="s">
        <v>464</v>
      </c>
      <c r="D34" s="235">
        <v>56</v>
      </c>
      <c r="E34" s="235">
        <v>56</v>
      </c>
      <c r="F34" s="235">
        <v>35</v>
      </c>
      <c r="G34" s="154">
        <f t="shared" si="1"/>
        <v>62.5</v>
      </c>
    </row>
    <row r="35" spans="1:7" x14ac:dyDescent="0.2">
      <c r="A35"/>
      <c r="B35" s="162" t="s">
        <v>325</v>
      </c>
      <c r="C35" s="236" t="s">
        <v>465</v>
      </c>
      <c r="D35" s="235">
        <v>53</v>
      </c>
      <c r="E35" s="235">
        <v>53</v>
      </c>
      <c r="F35" s="235">
        <v>49</v>
      </c>
      <c r="G35" s="154">
        <f t="shared" si="1"/>
        <v>92.452830188679243</v>
      </c>
    </row>
    <row r="36" spans="1:7" ht="13.5" x14ac:dyDescent="0.2">
      <c r="A36"/>
      <c r="B36" s="246" t="s">
        <v>302</v>
      </c>
      <c r="C36" s="247"/>
      <c r="D36" s="248">
        <v>2421</v>
      </c>
      <c r="E36" s="248">
        <v>2361</v>
      </c>
      <c r="F36" s="248">
        <v>2104</v>
      </c>
      <c r="G36" s="249">
        <f t="shared" si="1"/>
        <v>89.114781872088102</v>
      </c>
    </row>
    <row r="37" spans="1:7" ht="13.5" x14ac:dyDescent="0.2">
      <c r="A37"/>
      <c r="B37" s="246" t="s">
        <v>303</v>
      </c>
      <c r="C37" s="247"/>
      <c r="D37" s="248">
        <v>5080</v>
      </c>
      <c r="E37" s="248">
        <v>4927</v>
      </c>
      <c r="F37" s="248">
        <v>5562</v>
      </c>
      <c r="G37" s="249">
        <f t="shared" si="1"/>
        <v>112.88816724172925</v>
      </c>
    </row>
    <row r="38" spans="1:7" s="180" customFormat="1" x14ac:dyDescent="0.2">
      <c r="A38"/>
      <c r="B38" s="250" t="s">
        <v>179</v>
      </c>
      <c r="C38" s="251"/>
      <c r="D38" s="251"/>
      <c r="E38" s="251"/>
      <c r="F38" s="251"/>
      <c r="G38" s="251"/>
    </row>
    <row r="39" spans="1:7" s="180" customFormat="1" x14ac:dyDescent="0.2">
      <c r="A39"/>
      <c r="B39" s="252" t="s">
        <v>189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8" orientation="landscape" r:id="rId1"/>
  <headerFooter alignWithMargins="0">
    <oddFooter>&amp;LStatistiques mensuelles
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zoomScaleNormal="10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99"/>
      <c r="B1" s="61" t="s">
        <v>74</v>
      </c>
      <c r="C1" s="61"/>
      <c r="D1" s="61"/>
      <c r="E1" s="61"/>
    </row>
    <row r="2" spans="1:7" ht="18.75" x14ac:dyDescent="0.2">
      <c r="A2" s="99"/>
      <c r="B2" s="61" t="s">
        <v>188</v>
      </c>
      <c r="C2" s="61"/>
      <c r="D2" s="61"/>
      <c r="E2" s="61"/>
      <c r="F2" s="61" t="s">
        <v>466</v>
      </c>
      <c r="G2" s="61"/>
    </row>
    <row r="3" spans="1:7" ht="9" customHeight="1" x14ac:dyDescent="0.2">
      <c r="A3" s="99"/>
      <c r="B3" s="99"/>
      <c r="C3" s="99"/>
      <c r="D3" s="99"/>
      <c r="E3" s="99"/>
    </row>
    <row r="4" spans="1:7" ht="15" x14ac:dyDescent="0.2">
      <c r="A4" s="64" t="s">
        <v>131</v>
      </c>
      <c r="B4" s="65" t="str">
        <f>couverture!D15</f>
        <v xml:space="preserve">1er juillet 2014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juillet 2014 </v>
      </c>
      <c r="C6" s="70"/>
      <c r="D6" s="70"/>
      <c r="E6" s="70"/>
      <c r="F6" s="206"/>
      <c r="G6" s="206"/>
    </row>
    <row r="7" spans="1:7" ht="9" customHeight="1" x14ac:dyDescent="0.2">
      <c r="B7" s="180" t="s">
        <v>152</v>
      </c>
    </row>
    <row r="8" spans="1:7" ht="25.5" x14ac:dyDescent="0.2"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B9" s="233" t="s">
        <v>294</v>
      </c>
      <c r="C9" s="234" t="s">
        <v>467</v>
      </c>
      <c r="D9" s="240">
        <v>105</v>
      </c>
      <c r="E9" s="240">
        <v>105</v>
      </c>
      <c r="F9" s="240">
        <v>144</v>
      </c>
      <c r="G9" s="241">
        <f t="shared" ref="G9" si="0">IF(E9=0,0,F9/E9*100)</f>
        <v>137.14285714285714</v>
      </c>
    </row>
    <row r="10" spans="1:7" x14ac:dyDescent="0.2">
      <c r="A10"/>
      <c r="B10" s="162" t="s">
        <v>294</v>
      </c>
      <c r="C10" s="236" t="s">
        <v>468</v>
      </c>
      <c r="D10" s="235">
        <v>66</v>
      </c>
      <c r="E10" s="235">
        <v>66</v>
      </c>
      <c r="F10" s="235">
        <v>109</v>
      </c>
      <c r="G10" s="154">
        <f t="shared" ref="G10:G32" si="1">IF(E10=0,0,F10/E10*100)</f>
        <v>165.15151515151516</v>
      </c>
    </row>
    <row r="11" spans="1:7" x14ac:dyDescent="0.2">
      <c r="A11"/>
      <c r="B11" s="162" t="s">
        <v>294</v>
      </c>
      <c r="C11" s="236" t="s">
        <v>469</v>
      </c>
      <c r="D11" s="235">
        <v>66</v>
      </c>
      <c r="E11" s="235">
        <v>64</v>
      </c>
      <c r="F11" s="235">
        <v>92</v>
      </c>
      <c r="G11" s="154">
        <f t="shared" si="1"/>
        <v>143.75</v>
      </c>
    </row>
    <row r="12" spans="1:7" x14ac:dyDescent="0.2">
      <c r="A12"/>
      <c r="B12" s="162" t="s">
        <v>294</v>
      </c>
      <c r="C12" s="236" t="s">
        <v>470</v>
      </c>
      <c r="D12" s="235">
        <v>45</v>
      </c>
      <c r="E12" s="235">
        <v>45</v>
      </c>
      <c r="F12" s="235">
        <v>55</v>
      </c>
      <c r="G12" s="154">
        <f t="shared" si="1"/>
        <v>122.22222222222223</v>
      </c>
    </row>
    <row r="13" spans="1:7" x14ac:dyDescent="0.2">
      <c r="A13"/>
      <c r="B13" s="162" t="s">
        <v>294</v>
      </c>
      <c r="C13" s="236" t="s">
        <v>471</v>
      </c>
      <c r="D13" s="235">
        <v>144</v>
      </c>
      <c r="E13" s="235">
        <v>144</v>
      </c>
      <c r="F13" s="235">
        <v>184</v>
      </c>
      <c r="G13" s="154">
        <f t="shared" si="1"/>
        <v>127.77777777777777</v>
      </c>
    </row>
    <row r="14" spans="1:7" x14ac:dyDescent="0.2">
      <c r="A14"/>
      <c r="B14" s="162" t="s">
        <v>294</v>
      </c>
      <c r="C14" s="236" t="s">
        <v>472</v>
      </c>
      <c r="D14" s="235">
        <v>192</v>
      </c>
      <c r="E14" s="235">
        <v>192</v>
      </c>
      <c r="F14" s="235">
        <v>414</v>
      </c>
      <c r="G14" s="154">
        <f t="shared" si="1"/>
        <v>215.625</v>
      </c>
    </row>
    <row r="15" spans="1:7" x14ac:dyDescent="0.2">
      <c r="A15"/>
      <c r="B15" s="162" t="s">
        <v>294</v>
      </c>
      <c r="C15" s="236" t="s">
        <v>473</v>
      </c>
      <c r="D15" s="235">
        <v>100</v>
      </c>
      <c r="E15" s="235">
        <v>100</v>
      </c>
      <c r="F15" s="235">
        <v>86</v>
      </c>
      <c r="G15" s="154">
        <f t="shared" si="1"/>
        <v>86</v>
      </c>
    </row>
    <row r="16" spans="1:7" x14ac:dyDescent="0.2">
      <c r="A16"/>
      <c r="B16" s="162" t="s">
        <v>294</v>
      </c>
      <c r="C16" s="236" t="s">
        <v>474</v>
      </c>
      <c r="D16" s="235">
        <v>69</v>
      </c>
      <c r="E16" s="235">
        <v>69</v>
      </c>
      <c r="F16" s="235">
        <v>110</v>
      </c>
      <c r="G16" s="154">
        <f t="shared" si="1"/>
        <v>159.42028985507247</v>
      </c>
    </row>
    <row r="17" spans="1:7" x14ac:dyDescent="0.2">
      <c r="A17"/>
      <c r="B17" s="162" t="s">
        <v>295</v>
      </c>
      <c r="C17" s="236" t="s">
        <v>475</v>
      </c>
      <c r="D17" s="235">
        <v>416</v>
      </c>
      <c r="E17" s="235">
        <v>416</v>
      </c>
      <c r="F17" s="235">
        <v>524</v>
      </c>
      <c r="G17" s="154">
        <f t="shared" si="1"/>
        <v>125.96153846153845</v>
      </c>
    </row>
    <row r="18" spans="1:7" x14ac:dyDescent="0.2">
      <c r="A18"/>
      <c r="B18" s="162" t="s">
        <v>295</v>
      </c>
      <c r="C18" s="236" t="s">
        <v>476</v>
      </c>
      <c r="D18" s="235">
        <v>204</v>
      </c>
      <c r="E18" s="235">
        <v>204</v>
      </c>
      <c r="F18" s="235">
        <v>350</v>
      </c>
      <c r="G18" s="154">
        <f t="shared" si="1"/>
        <v>171.56862745098039</v>
      </c>
    </row>
    <row r="19" spans="1:7" x14ac:dyDescent="0.2">
      <c r="A19"/>
      <c r="B19" s="162" t="s">
        <v>295</v>
      </c>
      <c r="C19" s="236" t="s">
        <v>477</v>
      </c>
      <c r="D19" s="235">
        <v>651</v>
      </c>
      <c r="E19" s="235">
        <v>651</v>
      </c>
      <c r="F19" s="235">
        <v>926</v>
      </c>
      <c r="G19" s="154">
        <f t="shared" si="1"/>
        <v>142.24270353302612</v>
      </c>
    </row>
    <row r="20" spans="1:7" x14ac:dyDescent="0.2">
      <c r="A20"/>
      <c r="B20" s="162" t="s">
        <v>295</v>
      </c>
      <c r="C20" s="236" t="s">
        <v>478</v>
      </c>
      <c r="D20" s="235">
        <v>593</v>
      </c>
      <c r="E20" s="235">
        <v>593</v>
      </c>
      <c r="F20" s="235">
        <v>790</v>
      </c>
      <c r="G20" s="154">
        <f t="shared" si="1"/>
        <v>133.22091062394603</v>
      </c>
    </row>
    <row r="21" spans="1:7" ht="13.5" x14ac:dyDescent="0.2">
      <c r="A21"/>
      <c r="B21" s="246" t="s">
        <v>296</v>
      </c>
      <c r="C21" s="247"/>
      <c r="D21" s="248">
        <v>2651</v>
      </c>
      <c r="E21" s="248">
        <v>2649</v>
      </c>
      <c r="F21" s="248">
        <v>3784</v>
      </c>
      <c r="G21" s="249">
        <f t="shared" si="1"/>
        <v>142.8463571158928</v>
      </c>
    </row>
    <row r="22" spans="1:7" x14ac:dyDescent="0.2">
      <c r="A22"/>
      <c r="B22" s="242" t="s">
        <v>297</v>
      </c>
      <c r="C22" s="243" t="s">
        <v>479</v>
      </c>
      <c r="D22" s="244">
        <v>657</v>
      </c>
      <c r="E22" s="244">
        <v>620</v>
      </c>
      <c r="F22" s="244">
        <v>584</v>
      </c>
      <c r="G22" s="245">
        <f t="shared" si="1"/>
        <v>94.193548387096769</v>
      </c>
    </row>
    <row r="23" spans="1:7" x14ac:dyDescent="0.2">
      <c r="A23"/>
      <c r="B23" s="162" t="s">
        <v>297</v>
      </c>
      <c r="C23" s="236" t="s">
        <v>480</v>
      </c>
      <c r="D23" s="235">
        <v>102</v>
      </c>
      <c r="E23" s="235">
        <v>102</v>
      </c>
      <c r="F23" s="235">
        <v>86</v>
      </c>
      <c r="G23" s="154">
        <f t="shared" si="1"/>
        <v>84.313725490196077</v>
      </c>
    </row>
    <row r="24" spans="1:7" x14ac:dyDescent="0.2">
      <c r="A24"/>
      <c r="B24" s="162" t="s">
        <v>298</v>
      </c>
      <c r="C24" s="236" t="s">
        <v>475</v>
      </c>
      <c r="D24" s="235">
        <v>393</v>
      </c>
      <c r="E24" s="235">
        <v>393</v>
      </c>
      <c r="F24" s="235">
        <v>393</v>
      </c>
      <c r="G24" s="154">
        <f t="shared" si="1"/>
        <v>100</v>
      </c>
    </row>
    <row r="25" spans="1:7" x14ac:dyDescent="0.2">
      <c r="A25"/>
      <c r="B25" s="162" t="s">
        <v>298</v>
      </c>
      <c r="C25" s="236" t="s">
        <v>481</v>
      </c>
      <c r="D25" s="235">
        <v>20</v>
      </c>
      <c r="E25" s="235">
        <v>10</v>
      </c>
      <c r="F25" s="235">
        <v>4</v>
      </c>
      <c r="G25" s="154">
        <f t="shared" si="1"/>
        <v>40</v>
      </c>
    </row>
    <row r="26" spans="1:7" x14ac:dyDescent="0.2">
      <c r="A26"/>
      <c r="B26" s="162" t="s">
        <v>298</v>
      </c>
      <c r="C26" s="236" t="s">
        <v>476</v>
      </c>
      <c r="D26" s="235">
        <v>333</v>
      </c>
      <c r="E26" s="235">
        <v>333</v>
      </c>
      <c r="F26" s="235">
        <v>325</v>
      </c>
      <c r="G26" s="154">
        <f t="shared" si="1"/>
        <v>97.597597597597598</v>
      </c>
    </row>
    <row r="27" spans="1:7" x14ac:dyDescent="0.2">
      <c r="A27"/>
      <c r="B27" s="162" t="s">
        <v>347</v>
      </c>
      <c r="C27" s="236" t="s">
        <v>481</v>
      </c>
      <c r="D27" s="235">
        <v>212</v>
      </c>
      <c r="E27" s="235">
        <v>162</v>
      </c>
      <c r="F27" s="235">
        <v>121</v>
      </c>
      <c r="G27" s="154">
        <f t="shared" si="1"/>
        <v>74.691358024691354</v>
      </c>
    </row>
    <row r="28" spans="1:7" x14ac:dyDescent="0.2">
      <c r="A28"/>
      <c r="B28" s="162" t="s">
        <v>301</v>
      </c>
      <c r="C28" s="236" t="s">
        <v>477</v>
      </c>
      <c r="D28" s="235">
        <v>101</v>
      </c>
      <c r="E28" s="235">
        <v>52</v>
      </c>
      <c r="F28" s="235">
        <v>44</v>
      </c>
      <c r="G28" s="154">
        <f t="shared" si="1"/>
        <v>84.615384615384613</v>
      </c>
    </row>
    <row r="29" spans="1:7" x14ac:dyDescent="0.2">
      <c r="A29"/>
      <c r="B29" s="162" t="s">
        <v>301</v>
      </c>
      <c r="C29" s="236" t="s">
        <v>478</v>
      </c>
      <c r="D29" s="235">
        <v>24</v>
      </c>
      <c r="E29" s="235">
        <v>24</v>
      </c>
      <c r="F29" s="235">
        <v>20</v>
      </c>
      <c r="G29" s="154">
        <f t="shared" si="1"/>
        <v>83.333333333333343</v>
      </c>
    </row>
    <row r="30" spans="1:7" x14ac:dyDescent="0.2">
      <c r="A30"/>
      <c r="B30" s="162" t="s">
        <v>178</v>
      </c>
      <c r="C30" s="236" t="s">
        <v>482</v>
      </c>
      <c r="D30" s="235">
        <v>59</v>
      </c>
      <c r="E30" s="235">
        <v>59</v>
      </c>
      <c r="F30" s="235">
        <v>43</v>
      </c>
      <c r="G30" s="154">
        <f t="shared" si="1"/>
        <v>72.881355932203391</v>
      </c>
    </row>
    <row r="31" spans="1:7" ht="13.5" x14ac:dyDescent="0.2">
      <c r="A31"/>
      <c r="B31" s="246" t="s">
        <v>302</v>
      </c>
      <c r="C31" s="247"/>
      <c r="D31" s="248">
        <v>1901</v>
      </c>
      <c r="E31" s="248">
        <v>1755</v>
      </c>
      <c r="F31" s="248">
        <v>1620</v>
      </c>
      <c r="G31" s="249">
        <f t="shared" si="1"/>
        <v>92.307692307692307</v>
      </c>
    </row>
    <row r="32" spans="1:7" ht="13.5" x14ac:dyDescent="0.2">
      <c r="A32"/>
      <c r="B32" s="246" t="s">
        <v>303</v>
      </c>
      <c r="C32" s="247"/>
      <c r="D32" s="248">
        <v>4552</v>
      </c>
      <c r="E32" s="248">
        <v>4404</v>
      </c>
      <c r="F32" s="248">
        <v>5404</v>
      </c>
      <c r="G32" s="249">
        <f t="shared" si="1"/>
        <v>122.70663033605813</v>
      </c>
    </row>
    <row r="33" spans="1:7" x14ac:dyDescent="0.2">
      <c r="A33"/>
      <c r="B33" s="250" t="s">
        <v>179</v>
      </c>
      <c r="C33" s="251"/>
      <c r="D33" s="251"/>
      <c r="E33" s="251"/>
      <c r="F33" s="251"/>
      <c r="G33" s="251"/>
    </row>
    <row r="34" spans="1:7" s="180" customFormat="1" x14ac:dyDescent="0.2">
      <c r="A34"/>
      <c r="B34" s="252" t="s">
        <v>189</v>
      </c>
      <c r="C34"/>
      <c r="D34"/>
      <c r="E34"/>
      <c r="F34"/>
      <c r="G34"/>
    </row>
    <row r="35" spans="1:7" s="18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8" orientation="landscape" r:id="rId1"/>
  <headerFooter alignWithMargins="0">
    <oddFooter>&amp;LStatistiques mensuelles
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zoomScale="80" zoomScaleNormal="80" workbookViewId="0"/>
  </sheetViews>
  <sheetFormatPr baseColWidth="10" defaultColWidth="1.85546875" defaultRowHeight="12.75" x14ac:dyDescent="0.2"/>
  <cols>
    <col min="1" max="1" width="23.7109375" style="29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99"/>
      <c r="B1" s="61" t="s">
        <v>77</v>
      </c>
      <c r="C1" s="61"/>
      <c r="D1" s="253"/>
      <c r="E1" s="61"/>
    </row>
    <row r="2" spans="1:7" ht="18.75" x14ac:dyDescent="0.2">
      <c r="A2" s="99"/>
      <c r="B2" s="61" t="s">
        <v>188</v>
      </c>
      <c r="C2" s="61"/>
      <c r="D2" s="61"/>
      <c r="E2" s="61" t="s">
        <v>190</v>
      </c>
      <c r="F2" s="61"/>
      <c r="G2" s="61"/>
    </row>
    <row r="3" spans="1:7" ht="9" customHeight="1" x14ac:dyDescent="0.2">
      <c r="A3" s="99"/>
      <c r="B3" s="99"/>
      <c r="C3" s="99"/>
      <c r="D3" s="99"/>
      <c r="E3" s="99"/>
    </row>
    <row r="4" spans="1:7" ht="15" x14ac:dyDescent="0.2">
      <c r="A4" s="64" t="s">
        <v>131</v>
      </c>
      <c r="B4" s="65" t="str">
        <f>couverture!D15</f>
        <v xml:space="preserve">1er juillet 2014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66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juillet 2014 </v>
      </c>
      <c r="C6" s="70"/>
      <c r="D6" s="70"/>
      <c r="E6" s="70"/>
      <c r="F6" s="206"/>
      <c r="G6" s="206"/>
    </row>
    <row r="7" spans="1:7" ht="9" customHeight="1" x14ac:dyDescent="0.2">
      <c r="B7" s="180" t="s">
        <v>152</v>
      </c>
    </row>
    <row r="8" spans="1:7" ht="50.25" customHeight="1" x14ac:dyDescent="0.2">
      <c r="A8" s="205"/>
      <c r="B8" s="205"/>
      <c r="C8" s="205"/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ht="15.75" customHeight="1" x14ac:dyDescent="0.2">
      <c r="A9" s="254" t="s">
        <v>173</v>
      </c>
      <c r="B9" s="322" t="s">
        <v>294</v>
      </c>
      <c r="C9" s="323" t="s">
        <v>483</v>
      </c>
      <c r="D9" s="240">
        <v>130</v>
      </c>
      <c r="E9" s="240">
        <v>130</v>
      </c>
      <c r="F9" s="240">
        <v>184</v>
      </c>
      <c r="G9" s="241">
        <f t="shared" ref="G9:G32" si="0">IF(E9=0,0,F9/E9*100)</f>
        <v>141.53846153846155</v>
      </c>
    </row>
    <row r="10" spans="1:7" x14ac:dyDescent="0.2">
      <c r="A10" s="255"/>
      <c r="B10" s="255" t="s">
        <v>295</v>
      </c>
      <c r="C10" s="256" t="s">
        <v>484</v>
      </c>
      <c r="D10" s="235">
        <v>266</v>
      </c>
      <c r="E10" s="235">
        <v>266</v>
      </c>
      <c r="F10" s="235">
        <v>464</v>
      </c>
      <c r="G10" s="154">
        <f t="shared" si="0"/>
        <v>174.4360902255639</v>
      </c>
    </row>
    <row r="11" spans="1:7" x14ac:dyDescent="0.2">
      <c r="A11" s="340" t="s">
        <v>191</v>
      </c>
      <c r="B11" s="255" t="s">
        <v>295</v>
      </c>
      <c r="C11" s="256" t="s">
        <v>485</v>
      </c>
      <c r="D11" s="235">
        <v>211</v>
      </c>
      <c r="E11" s="235">
        <v>211</v>
      </c>
      <c r="F11" s="235">
        <v>453</v>
      </c>
      <c r="G11" s="154">
        <f t="shared" si="0"/>
        <v>214.69194312796211</v>
      </c>
    </row>
    <row r="12" spans="1:7" x14ac:dyDescent="0.2">
      <c r="A12" s="258"/>
      <c r="B12" s="258" t="s">
        <v>295</v>
      </c>
      <c r="C12" s="257" t="s">
        <v>486</v>
      </c>
      <c r="D12" s="259">
        <v>310</v>
      </c>
      <c r="E12" s="259">
        <v>310</v>
      </c>
      <c r="F12" s="259">
        <v>409</v>
      </c>
      <c r="G12" s="260">
        <f t="shared" si="0"/>
        <v>131.93548387096774</v>
      </c>
    </row>
    <row r="13" spans="1:7" ht="13.5" customHeight="1" x14ac:dyDescent="0.2">
      <c r="A13" s="341"/>
      <c r="B13" s="255" t="s">
        <v>294</v>
      </c>
      <c r="C13" s="256" t="s">
        <v>487</v>
      </c>
      <c r="D13" s="235">
        <v>123</v>
      </c>
      <c r="E13" s="235">
        <v>123</v>
      </c>
      <c r="F13" s="235">
        <v>122</v>
      </c>
      <c r="G13" s="154">
        <f t="shared" si="0"/>
        <v>99.1869918699187</v>
      </c>
    </row>
    <row r="14" spans="1:7" x14ac:dyDescent="0.2">
      <c r="A14" s="341"/>
      <c r="B14" s="255" t="s">
        <v>295</v>
      </c>
      <c r="C14" s="256" t="s">
        <v>488</v>
      </c>
      <c r="D14" s="235">
        <v>558</v>
      </c>
      <c r="E14" s="235">
        <v>558</v>
      </c>
      <c r="F14" s="235">
        <v>489</v>
      </c>
      <c r="G14" s="154">
        <f t="shared" si="0"/>
        <v>87.634408602150543</v>
      </c>
    </row>
    <row r="15" spans="1:7" x14ac:dyDescent="0.2">
      <c r="A15" s="340" t="s">
        <v>192</v>
      </c>
      <c r="B15" s="255" t="s">
        <v>295</v>
      </c>
      <c r="C15" s="256" t="s">
        <v>489</v>
      </c>
      <c r="D15" s="235">
        <v>7</v>
      </c>
      <c r="E15" s="235">
        <v>7</v>
      </c>
      <c r="F15" s="235">
        <v>4</v>
      </c>
      <c r="G15" s="154">
        <f t="shared" si="0"/>
        <v>57.142857142857139</v>
      </c>
    </row>
    <row r="16" spans="1:7" x14ac:dyDescent="0.2">
      <c r="A16" s="340" t="s">
        <v>193</v>
      </c>
      <c r="B16" s="255" t="s">
        <v>294</v>
      </c>
      <c r="C16" s="256" t="s">
        <v>490</v>
      </c>
      <c r="D16" s="235">
        <v>162</v>
      </c>
      <c r="E16" s="235">
        <v>162</v>
      </c>
      <c r="F16" s="235">
        <v>157</v>
      </c>
      <c r="G16" s="154">
        <f t="shared" si="0"/>
        <v>96.913580246913583</v>
      </c>
    </row>
    <row r="17" spans="1:9" x14ac:dyDescent="0.2">
      <c r="A17" s="340" t="s">
        <v>194</v>
      </c>
      <c r="B17" s="255" t="s">
        <v>294</v>
      </c>
      <c r="C17" s="256" t="s">
        <v>491</v>
      </c>
      <c r="D17" s="235">
        <v>3</v>
      </c>
      <c r="E17" s="235">
        <v>3</v>
      </c>
      <c r="F17" s="235">
        <v>3</v>
      </c>
      <c r="G17" s="154">
        <f t="shared" si="0"/>
        <v>100</v>
      </c>
    </row>
    <row r="18" spans="1:9" x14ac:dyDescent="0.2">
      <c r="A18" s="255"/>
      <c r="B18" s="255" t="s">
        <v>294</v>
      </c>
      <c r="C18" s="256" t="s">
        <v>492</v>
      </c>
      <c r="D18" s="235">
        <v>5</v>
      </c>
      <c r="E18" s="235">
        <v>5</v>
      </c>
      <c r="F18" s="235">
        <v>3</v>
      </c>
      <c r="G18" s="154">
        <f t="shared" si="0"/>
        <v>60</v>
      </c>
    </row>
    <row r="19" spans="1:9" x14ac:dyDescent="0.2">
      <c r="A19" s="255"/>
      <c r="B19" s="255" t="s">
        <v>294</v>
      </c>
      <c r="C19" s="256" t="s">
        <v>493</v>
      </c>
      <c r="D19" s="235">
        <v>20</v>
      </c>
      <c r="E19" s="235">
        <v>20</v>
      </c>
      <c r="F19" s="235">
        <v>14</v>
      </c>
      <c r="G19" s="154">
        <f t="shared" si="0"/>
        <v>70</v>
      </c>
    </row>
    <row r="20" spans="1:9" x14ac:dyDescent="0.2">
      <c r="A20" s="255"/>
      <c r="B20" s="255" t="s">
        <v>295</v>
      </c>
      <c r="C20" s="256" t="s">
        <v>494</v>
      </c>
      <c r="D20" s="235">
        <v>54</v>
      </c>
      <c r="E20" s="235">
        <v>54</v>
      </c>
      <c r="F20" s="235">
        <v>162</v>
      </c>
      <c r="G20" s="154">
        <f t="shared" si="0"/>
        <v>300</v>
      </c>
    </row>
    <row r="21" spans="1:9" x14ac:dyDescent="0.2">
      <c r="A21" s="255"/>
      <c r="B21" s="255" t="s">
        <v>295</v>
      </c>
      <c r="C21" s="256" t="s">
        <v>495</v>
      </c>
      <c r="D21" s="235">
        <v>184</v>
      </c>
      <c r="E21" s="235">
        <v>184</v>
      </c>
      <c r="F21" s="235">
        <v>212</v>
      </c>
      <c r="G21" s="154">
        <f t="shared" si="0"/>
        <v>115.21739130434783</v>
      </c>
    </row>
    <row r="22" spans="1:9" ht="13.5" x14ac:dyDescent="0.2">
      <c r="A22" s="343"/>
      <c r="B22" s="344" t="s">
        <v>296</v>
      </c>
      <c r="C22" s="345"/>
      <c r="D22" s="248">
        <v>2033</v>
      </c>
      <c r="E22" s="248">
        <v>2033</v>
      </c>
      <c r="F22" s="248">
        <v>2676</v>
      </c>
      <c r="G22" s="249">
        <f t="shared" si="0"/>
        <v>131.62813575996063</v>
      </c>
    </row>
    <row r="23" spans="1:9" x14ac:dyDescent="0.2">
      <c r="A23" s="342" t="s">
        <v>195</v>
      </c>
      <c r="B23" s="320" t="s">
        <v>298</v>
      </c>
      <c r="C23" s="321" t="s">
        <v>484</v>
      </c>
      <c r="D23" s="244">
        <v>238</v>
      </c>
      <c r="E23" s="244">
        <v>238</v>
      </c>
      <c r="F23" s="244">
        <v>231</v>
      </c>
      <c r="G23" s="245">
        <f t="shared" si="0"/>
        <v>97.058823529411768</v>
      </c>
    </row>
    <row r="24" spans="1:9" x14ac:dyDescent="0.2">
      <c r="A24" s="342" t="s">
        <v>196</v>
      </c>
      <c r="B24" s="255" t="s">
        <v>298</v>
      </c>
      <c r="C24" s="256" t="s">
        <v>485</v>
      </c>
      <c r="D24" s="235">
        <v>358</v>
      </c>
      <c r="E24" s="235">
        <v>358</v>
      </c>
      <c r="F24" s="235">
        <v>443</v>
      </c>
      <c r="G24" s="154">
        <f t="shared" si="0"/>
        <v>123.74301675977655</v>
      </c>
    </row>
    <row r="25" spans="1:9" ht="16.5" customHeight="1" x14ac:dyDescent="0.2">
      <c r="A25" s="346" t="s">
        <v>191</v>
      </c>
      <c r="B25" s="258" t="s">
        <v>298</v>
      </c>
      <c r="C25" s="257" t="s">
        <v>486</v>
      </c>
      <c r="D25" s="259">
        <v>304</v>
      </c>
      <c r="E25" s="259">
        <v>304</v>
      </c>
      <c r="F25" s="259">
        <v>295</v>
      </c>
      <c r="G25" s="260">
        <f t="shared" si="0"/>
        <v>97.039473684210535</v>
      </c>
    </row>
    <row r="26" spans="1:9" x14ac:dyDescent="0.2">
      <c r="A26" s="162"/>
      <c r="B26" s="255" t="s">
        <v>297</v>
      </c>
      <c r="C26" s="256" t="s">
        <v>496</v>
      </c>
      <c r="D26" s="235">
        <v>560</v>
      </c>
      <c r="E26" s="235">
        <v>508</v>
      </c>
      <c r="F26" s="235">
        <v>473</v>
      </c>
      <c r="G26" s="154">
        <f t="shared" si="0"/>
        <v>93.110236220472444</v>
      </c>
    </row>
    <row r="27" spans="1:9" x14ac:dyDescent="0.2">
      <c r="A27" s="340" t="s">
        <v>192</v>
      </c>
      <c r="B27" s="255" t="s">
        <v>298</v>
      </c>
      <c r="C27" s="256" t="s">
        <v>488</v>
      </c>
      <c r="D27" s="235">
        <v>17</v>
      </c>
      <c r="E27" s="235">
        <v>17</v>
      </c>
      <c r="F27" s="235">
        <v>16</v>
      </c>
      <c r="G27" s="154">
        <f t="shared" si="0"/>
        <v>94.117647058823522</v>
      </c>
    </row>
    <row r="28" spans="1:9" x14ac:dyDescent="0.2">
      <c r="A28" s="340" t="s">
        <v>193</v>
      </c>
      <c r="B28" s="255" t="s">
        <v>298</v>
      </c>
      <c r="C28" s="256" t="s">
        <v>489</v>
      </c>
      <c r="D28" s="235">
        <v>4</v>
      </c>
      <c r="E28" s="235">
        <v>4</v>
      </c>
      <c r="F28" s="235">
        <v>1</v>
      </c>
      <c r="G28" s="154">
        <f t="shared" si="0"/>
        <v>25</v>
      </c>
      <c r="H28" s="225"/>
      <c r="I28" s="225"/>
    </row>
    <row r="29" spans="1:9" x14ac:dyDescent="0.2">
      <c r="A29" s="340" t="s">
        <v>197</v>
      </c>
      <c r="B29" s="255" t="s">
        <v>298</v>
      </c>
      <c r="C29" s="256" t="s">
        <v>494</v>
      </c>
      <c r="D29" s="235">
        <v>111</v>
      </c>
      <c r="E29" s="235">
        <v>111</v>
      </c>
      <c r="F29" s="235">
        <v>235</v>
      </c>
      <c r="G29" s="154">
        <f t="shared" si="0"/>
        <v>211.71171171171173</v>
      </c>
      <c r="H29" s="225"/>
      <c r="I29" s="225"/>
    </row>
    <row r="30" spans="1:9" x14ac:dyDescent="0.2">
      <c r="A30" s="162"/>
      <c r="B30" s="255" t="s">
        <v>298</v>
      </c>
      <c r="C30" s="256" t="s">
        <v>495</v>
      </c>
      <c r="D30" s="235">
        <v>197</v>
      </c>
      <c r="E30" s="235">
        <v>197</v>
      </c>
      <c r="F30" s="235">
        <v>241</v>
      </c>
      <c r="G30" s="154">
        <f t="shared" si="0"/>
        <v>122.33502538071066</v>
      </c>
      <c r="H30" s="225"/>
      <c r="I30" s="225"/>
    </row>
    <row r="31" spans="1:9" ht="13.5" x14ac:dyDescent="0.2">
      <c r="A31" s="258"/>
      <c r="B31" s="328" t="s">
        <v>302</v>
      </c>
      <c r="C31" s="329"/>
      <c r="D31" s="330">
        <v>1789</v>
      </c>
      <c r="E31" s="330">
        <v>1737</v>
      </c>
      <c r="F31" s="330">
        <v>1935</v>
      </c>
      <c r="G31" s="331">
        <f t="shared" si="0"/>
        <v>111.39896373056995</v>
      </c>
      <c r="H31" s="225"/>
      <c r="I31" s="225"/>
    </row>
    <row r="32" spans="1:9" ht="13.5" x14ac:dyDescent="0.2">
      <c r="B32" s="326" t="s">
        <v>303</v>
      </c>
      <c r="C32" s="327"/>
      <c r="D32" s="324">
        <v>3822</v>
      </c>
      <c r="E32" s="324">
        <v>3770</v>
      </c>
      <c r="F32" s="324">
        <v>4611</v>
      </c>
      <c r="G32" s="325">
        <f t="shared" si="0"/>
        <v>122.30769230769232</v>
      </c>
      <c r="H32" s="225"/>
      <c r="I32" s="225"/>
    </row>
    <row r="33" spans="1:9" x14ac:dyDescent="0.2">
      <c r="A33" s="261"/>
      <c r="B33" s="250" t="s">
        <v>179</v>
      </c>
      <c r="C33" s="251"/>
      <c r="D33" s="251"/>
      <c r="E33" s="251"/>
      <c r="F33" s="251"/>
      <c r="G33" s="251"/>
      <c r="H33" s="225"/>
    </row>
    <row r="34" spans="1:9" s="180" customFormat="1" x14ac:dyDescent="0.2">
      <c r="A34" s="237"/>
      <c r="B34" s="252" t="s">
        <v>189</v>
      </c>
      <c r="C34"/>
      <c r="D34"/>
      <c r="E34"/>
      <c r="F34"/>
      <c r="G34"/>
    </row>
    <row r="35" spans="1:9" s="180" customFormat="1" x14ac:dyDescent="0.2">
      <c r="A35" s="237"/>
      <c r="B35"/>
      <c r="C35"/>
      <c r="D35"/>
      <c r="E35"/>
      <c r="F35"/>
      <c r="G35"/>
    </row>
    <row r="36" spans="1:9" x14ac:dyDescent="0.2">
      <c r="B36"/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225"/>
      <c r="I37" s="225"/>
    </row>
    <row r="38" spans="1:9" x14ac:dyDescent="0.2">
      <c r="B38"/>
      <c r="C38"/>
      <c r="D38"/>
      <c r="E38"/>
      <c r="F38"/>
      <c r="G38"/>
      <c r="H38" s="225"/>
      <c r="I38" s="225"/>
    </row>
    <row r="39" spans="1:9" s="225" customFormat="1" x14ac:dyDescent="0.2">
      <c r="B39"/>
      <c r="C39"/>
      <c r="D39"/>
      <c r="E39"/>
      <c r="F39"/>
      <c r="G39"/>
    </row>
    <row r="40" spans="1:9" s="225" customFormat="1" x14ac:dyDescent="0.2">
      <c r="B40"/>
      <c r="C40"/>
      <c r="D40"/>
      <c r="E40"/>
      <c r="F40"/>
      <c r="G40"/>
    </row>
    <row r="41" spans="1:9" s="225" customFormat="1" x14ac:dyDescent="0.2">
      <c r="B41"/>
      <c r="C41"/>
      <c r="D41"/>
      <c r="E41"/>
      <c r="F41"/>
      <c r="G41"/>
    </row>
    <row r="42" spans="1:9" s="225" customFormat="1" x14ac:dyDescent="0.2">
      <c r="B42"/>
      <c r="C42"/>
      <c r="D42"/>
      <c r="E42"/>
      <c r="F42"/>
      <c r="G42"/>
    </row>
    <row r="43" spans="1:9" s="225" customFormat="1" x14ac:dyDescent="0.2">
      <c r="B43"/>
      <c r="C43"/>
      <c r="D43"/>
      <c r="E43"/>
      <c r="F43"/>
      <c r="G43"/>
    </row>
    <row r="44" spans="1:9" s="225" customFormat="1" x14ac:dyDescent="0.2">
      <c r="B44"/>
      <c r="C44"/>
      <c r="D44"/>
      <c r="E44"/>
      <c r="F44"/>
      <c r="G44"/>
    </row>
    <row r="45" spans="1:9" s="225" customFormat="1" x14ac:dyDescent="0.2">
      <c r="B45"/>
      <c r="C45"/>
      <c r="D45"/>
      <c r="E45"/>
      <c r="F45"/>
      <c r="G45"/>
    </row>
    <row r="46" spans="1:9" s="225" customFormat="1" x14ac:dyDescent="0.2">
      <c r="B46"/>
      <c r="C46"/>
      <c r="D46"/>
      <c r="E46"/>
      <c r="F46"/>
      <c r="G46"/>
    </row>
    <row r="47" spans="1:9" s="225" customFormat="1" x14ac:dyDescent="0.2">
      <c r="B47"/>
      <c r="C47"/>
      <c r="D47"/>
      <c r="E47"/>
      <c r="F47"/>
      <c r="G47"/>
    </row>
    <row r="48" spans="1:9" s="225" customFormat="1" x14ac:dyDescent="0.2">
      <c r="B48"/>
      <c r="C48"/>
      <c r="D48"/>
      <c r="E48"/>
      <c r="F48"/>
      <c r="G48"/>
    </row>
    <row r="49" spans="2:7" s="225" customFormat="1" x14ac:dyDescent="0.2">
      <c r="B49"/>
      <c r="C49"/>
      <c r="D49"/>
      <c r="E49"/>
      <c r="F49"/>
      <c r="G49"/>
    </row>
    <row r="50" spans="2:7" s="225" customFormat="1" x14ac:dyDescent="0.2">
      <c r="B50"/>
      <c r="C50"/>
      <c r="D50"/>
      <c r="E50"/>
      <c r="F50"/>
      <c r="G50"/>
    </row>
    <row r="51" spans="2:7" s="225" customFormat="1" x14ac:dyDescent="0.2">
      <c r="B51"/>
      <c r="C51"/>
      <c r="D51"/>
      <c r="E51"/>
      <c r="F51"/>
      <c r="G51"/>
    </row>
    <row r="52" spans="2:7" s="225" customFormat="1" x14ac:dyDescent="0.2">
      <c r="B52"/>
      <c r="C52"/>
      <c r="D52"/>
      <c r="E52"/>
      <c r="F52"/>
      <c r="G52"/>
    </row>
    <row r="53" spans="2:7" s="225" customFormat="1" x14ac:dyDescent="0.2">
      <c r="B53"/>
      <c r="C53"/>
      <c r="D53"/>
      <c r="E53"/>
      <c r="F53"/>
      <c r="G53"/>
    </row>
    <row r="54" spans="2:7" s="225" customFormat="1" x14ac:dyDescent="0.2">
      <c r="B54"/>
      <c r="C54"/>
      <c r="D54"/>
      <c r="E54"/>
      <c r="F54"/>
      <c r="G54"/>
    </row>
    <row r="55" spans="2:7" s="225" customFormat="1" x14ac:dyDescent="0.2">
      <c r="B55"/>
      <c r="C55"/>
      <c r="D55"/>
      <c r="E55"/>
      <c r="F55"/>
      <c r="G55"/>
    </row>
    <row r="56" spans="2:7" s="225" customFormat="1" x14ac:dyDescent="0.2">
      <c r="B56"/>
      <c r="C56"/>
      <c r="D56"/>
      <c r="E56"/>
      <c r="F56"/>
      <c r="G56"/>
    </row>
    <row r="57" spans="2:7" s="225" customFormat="1" x14ac:dyDescent="0.2">
      <c r="B57"/>
      <c r="C57"/>
      <c r="D57"/>
      <c r="E57"/>
      <c r="F57"/>
      <c r="G57"/>
    </row>
    <row r="58" spans="2:7" s="225" customFormat="1" x14ac:dyDescent="0.2">
      <c r="B58"/>
      <c r="C58"/>
      <c r="D58"/>
      <c r="E58"/>
      <c r="F58"/>
      <c r="G58"/>
    </row>
    <row r="59" spans="2:7" s="225" customFormat="1" x14ac:dyDescent="0.2">
      <c r="B59"/>
      <c r="C59"/>
      <c r="D59"/>
      <c r="E59"/>
      <c r="F59"/>
      <c r="G59"/>
    </row>
    <row r="60" spans="2:7" s="225" customFormat="1" x14ac:dyDescent="0.2">
      <c r="B60"/>
      <c r="C60"/>
      <c r="D60"/>
      <c r="E60"/>
      <c r="F60"/>
      <c r="G60"/>
    </row>
    <row r="61" spans="2:7" s="225" customFormat="1" x14ac:dyDescent="0.2">
      <c r="B61"/>
      <c r="C61"/>
      <c r="D61"/>
      <c r="E61"/>
      <c r="F61"/>
      <c r="G61"/>
    </row>
    <row r="62" spans="2:7" s="225" customFormat="1" x14ac:dyDescent="0.2">
      <c r="B62"/>
      <c r="C62"/>
      <c r="D62"/>
      <c r="E62"/>
      <c r="F62"/>
      <c r="G62"/>
    </row>
    <row r="63" spans="2:7" s="225" customFormat="1" x14ac:dyDescent="0.2">
      <c r="B63"/>
      <c r="C63"/>
      <c r="D63"/>
      <c r="E63"/>
      <c r="F63"/>
      <c r="G63"/>
    </row>
    <row r="64" spans="2:7" s="225" customFormat="1" x14ac:dyDescent="0.2">
      <c r="B64"/>
      <c r="C64"/>
      <c r="D64"/>
      <c r="E64"/>
      <c r="F64"/>
      <c r="G64"/>
    </row>
    <row r="65" spans="2:7" s="225" customFormat="1" x14ac:dyDescent="0.2">
      <c r="B65"/>
      <c r="C65"/>
      <c r="D65"/>
      <c r="E65"/>
      <c r="F65"/>
      <c r="G65"/>
    </row>
    <row r="66" spans="2:7" s="225" customFormat="1" x14ac:dyDescent="0.2">
      <c r="B66"/>
      <c r="C66"/>
      <c r="D66"/>
      <c r="E66"/>
      <c r="F66"/>
      <c r="G66"/>
    </row>
    <row r="67" spans="2:7" s="225" customFormat="1" x14ac:dyDescent="0.2">
      <c r="B67"/>
      <c r="C67"/>
      <c r="D67"/>
      <c r="E67"/>
      <c r="F67"/>
      <c r="G67"/>
    </row>
    <row r="68" spans="2:7" s="225" customFormat="1" x14ac:dyDescent="0.2">
      <c r="B68"/>
      <c r="C68"/>
      <c r="D68"/>
      <c r="E68"/>
      <c r="F68"/>
      <c r="G68"/>
    </row>
    <row r="69" spans="2:7" s="225" customFormat="1" x14ac:dyDescent="0.2">
      <c r="B69"/>
      <c r="C69"/>
      <c r="D69"/>
      <c r="E69"/>
      <c r="F69"/>
      <c r="G69"/>
    </row>
    <row r="70" spans="2:7" s="225" customFormat="1" x14ac:dyDescent="0.2">
      <c r="B70"/>
      <c r="C70"/>
      <c r="D70"/>
      <c r="E70"/>
      <c r="F70"/>
      <c r="G70"/>
    </row>
    <row r="71" spans="2:7" s="225" customFormat="1" x14ac:dyDescent="0.2">
      <c r="B71"/>
      <c r="C71"/>
      <c r="D71"/>
      <c r="E71"/>
      <c r="F71"/>
      <c r="G71"/>
    </row>
    <row r="72" spans="2:7" s="225" customFormat="1" x14ac:dyDescent="0.2">
      <c r="B72"/>
      <c r="C72"/>
      <c r="D72"/>
      <c r="E72"/>
      <c r="F72"/>
      <c r="G72"/>
    </row>
    <row r="73" spans="2:7" s="225" customFormat="1" x14ac:dyDescent="0.2">
      <c r="B73"/>
      <c r="C73"/>
      <c r="D73"/>
      <c r="E73"/>
      <c r="F73"/>
      <c r="G73"/>
    </row>
    <row r="74" spans="2:7" s="225" customFormat="1" x14ac:dyDescent="0.2">
      <c r="B74"/>
      <c r="C74"/>
      <c r="D74"/>
      <c r="E74"/>
      <c r="F74"/>
      <c r="G74"/>
    </row>
    <row r="75" spans="2:7" s="225" customFormat="1" x14ac:dyDescent="0.2">
      <c r="B75"/>
      <c r="C75"/>
      <c r="D75"/>
      <c r="E75"/>
      <c r="F75"/>
      <c r="G75"/>
    </row>
    <row r="76" spans="2:7" s="225" customFormat="1" x14ac:dyDescent="0.2">
      <c r="B76"/>
      <c r="C76"/>
      <c r="D76"/>
      <c r="E76"/>
      <c r="F76"/>
      <c r="G76"/>
    </row>
    <row r="77" spans="2:7" s="225" customFormat="1" x14ac:dyDescent="0.2">
      <c r="B77"/>
      <c r="C77"/>
      <c r="D77"/>
      <c r="E77"/>
      <c r="F77"/>
      <c r="G77"/>
    </row>
    <row r="78" spans="2:7" s="225" customFormat="1" x14ac:dyDescent="0.2">
      <c r="B78"/>
      <c r="C78"/>
      <c r="D78"/>
      <c r="E78"/>
      <c r="F78"/>
      <c r="G78"/>
    </row>
    <row r="79" spans="2:7" s="225" customFormat="1" x14ac:dyDescent="0.2">
      <c r="B79"/>
      <c r="C79"/>
      <c r="D79"/>
      <c r="E79"/>
      <c r="F79"/>
      <c r="G79"/>
    </row>
    <row r="80" spans="2:7" s="225" customFormat="1" x14ac:dyDescent="0.2">
      <c r="B80"/>
      <c r="C80"/>
      <c r="D80"/>
      <c r="E80"/>
      <c r="F80"/>
      <c r="G80"/>
    </row>
    <row r="81" spans="2:7" s="225" customFormat="1" x14ac:dyDescent="0.2">
      <c r="B81"/>
      <c r="C81"/>
      <c r="D81"/>
      <c r="E81"/>
      <c r="F81"/>
      <c r="G81"/>
    </row>
    <row r="82" spans="2:7" s="225" customFormat="1" x14ac:dyDescent="0.2">
      <c r="B82"/>
      <c r="C82"/>
      <c r="D82"/>
      <c r="E82"/>
      <c r="F82"/>
      <c r="G82"/>
    </row>
    <row r="83" spans="2:7" s="225" customFormat="1" x14ac:dyDescent="0.2">
      <c r="B83"/>
      <c r="C83"/>
      <c r="D83"/>
      <c r="E83"/>
      <c r="F83"/>
      <c r="G83"/>
    </row>
    <row r="84" spans="2:7" s="225" customFormat="1" x14ac:dyDescent="0.2">
      <c r="B84"/>
      <c r="C84"/>
      <c r="D84"/>
      <c r="E84"/>
      <c r="F84"/>
      <c r="G84"/>
    </row>
    <row r="85" spans="2:7" s="225" customFormat="1" x14ac:dyDescent="0.2">
      <c r="B85"/>
      <c r="C85"/>
      <c r="D85"/>
      <c r="E85"/>
      <c r="F85"/>
      <c r="G85"/>
    </row>
    <row r="86" spans="2:7" s="225" customFormat="1" x14ac:dyDescent="0.2">
      <c r="B86"/>
      <c r="C86"/>
      <c r="D86"/>
      <c r="E86"/>
      <c r="F86"/>
      <c r="G86"/>
    </row>
    <row r="87" spans="2:7" s="225" customFormat="1" x14ac:dyDescent="0.2">
      <c r="B87"/>
      <c r="C87"/>
      <c r="D87"/>
      <c r="E87"/>
      <c r="F87"/>
      <c r="G87"/>
    </row>
    <row r="88" spans="2:7" s="225" customFormat="1" x14ac:dyDescent="0.2">
      <c r="B88"/>
      <c r="C88"/>
      <c r="D88"/>
      <c r="E88"/>
      <c r="F88"/>
      <c r="G88"/>
    </row>
    <row r="89" spans="2:7" s="225" customFormat="1" x14ac:dyDescent="0.2">
      <c r="B89"/>
      <c r="C89"/>
      <c r="D89"/>
      <c r="E89"/>
      <c r="F89"/>
      <c r="G89"/>
    </row>
    <row r="90" spans="2:7" s="225" customFormat="1" x14ac:dyDescent="0.2">
      <c r="B90"/>
      <c r="C90"/>
      <c r="D90"/>
      <c r="E90"/>
      <c r="F90"/>
      <c r="G90"/>
    </row>
    <row r="91" spans="2:7" s="225" customFormat="1" x14ac:dyDescent="0.2">
      <c r="B91"/>
      <c r="C91"/>
      <c r="D91"/>
      <c r="E91"/>
      <c r="F91"/>
      <c r="G91"/>
    </row>
    <row r="92" spans="2:7" s="225" customFormat="1" x14ac:dyDescent="0.2">
      <c r="B92"/>
      <c r="C92"/>
      <c r="D92"/>
      <c r="E92"/>
      <c r="F92"/>
      <c r="G92"/>
    </row>
    <row r="93" spans="2:7" s="225" customFormat="1" x14ac:dyDescent="0.2">
      <c r="B93"/>
      <c r="C93"/>
      <c r="D93"/>
      <c r="E93"/>
      <c r="F93"/>
      <c r="G93"/>
    </row>
    <row r="94" spans="2:7" s="225" customFormat="1" x14ac:dyDescent="0.2">
      <c r="B94"/>
      <c r="C94"/>
      <c r="D94"/>
      <c r="E94"/>
      <c r="F94"/>
      <c r="G94"/>
    </row>
    <row r="95" spans="2:7" s="225" customFormat="1" x14ac:dyDescent="0.2">
      <c r="B95"/>
      <c r="C95"/>
      <c r="D95"/>
      <c r="E95"/>
      <c r="F95"/>
      <c r="G95"/>
    </row>
    <row r="96" spans="2:7" s="225" customFormat="1" x14ac:dyDescent="0.2">
      <c r="B96"/>
      <c r="C96"/>
      <c r="D96"/>
      <c r="E96"/>
      <c r="F96"/>
      <c r="G96"/>
    </row>
    <row r="97" spans="2:7" s="225" customFormat="1" x14ac:dyDescent="0.2">
      <c r="B97"/>
      <c r="C97"/>
      <c r="D97"/>
      <c r="E97"/>
      <c r="F97"/>
      <c r="G97"/>
    </row>
    <row r="98" spans="2:7" s="225" customFormat="1" x14ac:dyDescent="0.2">
      <c r="B98"/>
      <c r="C98"/>
      <c r="D98"/>
      <c r="E98"/>
      <c r="F98"/>
      <c r="G98"/>
    </row>
    <row r="99" spans="2:7" s="225" customFormat="1" x14ac:dyDescent="0.2">
      <c r="B99"/>
      <c r="C99"/>
      <c r="D99"/>
      <c r="E99"/>
      <c r="F99"/>
      <c r="G99"/>
    </row>
    <row r="100" spans="2:7" s="225" customFormat="1" x14ac:dyDescent="0.2">
      <c r="B100"/>
      <c r="C100"/>
      <c r="D100"/>
      <c r="E100"/>
      <c r="F100"/>
      <c r="G100"/>
    </row>
    <row r="101" spans="2:7" s="225" customFormat="1" x14ac:dyDescent="0.2">
      <c r="B101"/>
      <c r="C101"/>
      <c r="D101"/>
      <c r="E101"/>
      <c r="F101"/>
      <c r="G101"/>
    </row>
    <row r="102" spans="2:7" s="225" customFormat="1" x14ac:dyDescent="0.2">
      <c r="B102"/>
      <c r="C102"/>
      <c r="D102"/>
      <c r="E102"/>
      <c r="F102"/>
      <c r="G102"/>
    </row>
    <row r="103" spans="2:7" s="225" customFormat="1" x14ac:dyDescent="0.2">
      <c r="B103"/>
      <c r="C103"/>
      <c r="D103"/>
      <c r="E103"/>
      <c r="F103"/>
      <c r="G103"/>
    </row>
    <row r="104" spans="2:7" s="225" customFormat="1" x14ac:dyDescent="0.2">
      <c r="B104"/>
      <c r="C104"/>
      <c r="D104"/>
      <c r="E104"/>
      <c r="F104"/>
      <c r="G104"/>
    </row>
    <row r="105" spans="2:7" s="225" customFormat="1" x14ac:dyDescent="0.2">
      <c r="B105"/>
      <c r="C105"/>
      <c r="D105"/>
      <c r="E105"/>
      <c r="F105"/>
      <c r="G105"/>
    </row>
    <row r="106" spans="2:7" s="225" customFormat="1" x14ac:dyDescent="0.2">
      <c r="B106"/>
      <c r="C106"/>
      <c r="D106"/>
      <c r="E106"/>
      <c r="F106"/>
      <c r="G106"/>
    </row>
    <row r="107" spans="2:7" s="225" customFormat="1" x14ac:dyDescent="0.2">
      <c r="B107"/>
      <c r="C107"/>
      <c r="D107"/>
      <c r="E107"/>
      <c r="F107"/>
      <c r="G107"/>
    </row>
    <row r="108" spans="2:7" s="225" customFormat="1" x14ac:dyDescent="0.2">
      <c r="B108"/>
      <c r="C108"/>
      <c r="D108"/>
      <c r="E108"/>
      <c r="F108"/>
      <c r="G108"/>
    </row>
    <row r="109" spans="2:7" s="225" customFormat="1" x14ac:dyDescent="0.2">
      <c r="B109"/>
      <c r="C109"/>
      <c r="D109"/>
      <c r="E109"/>
      <c r="F109"/>
      <c r="G109"/>
    </row>
    <row r="110" spans="2:7" s="225" customFormat="1" x14ac:dyDescent="0.2">
      <c r="B110"/>
      <c r="C110"/>
      <c r="D110"/>
      <c r="E110"/>
      <c r="F110"/>
      <c r="G110"/>
    </row>
    <row r="111" spans="2:7" s="225" customFormat="1" x14ac:dyDescent="0.2">
      <c r="B111"/>
      <c r="C111"/>
      <c r="D111"/>
      <c r="E111"/>
      <c r="F111"/>
      <c r="G111"/>
    </row>
    <row r="112" spans="2:7" s="225" customFormat="1" x14ac:dyDescent="0.2">
      <c r="B112"/>
      <c r="C112"/>
      <c r="D112"/>
      <c r="E112"/>
      <c r="F112"/>
      <c r="G112"/>
    </row>
    <row r="113" spans="2:7" s="225" customFormat="1" x14ac:dyDescent="0.2">
      <c r="B113"/>
      <c r="C113"/>
      <c r="D113"/>
      <c r="E113"/>
      <c r="F113"/>
      <c r="G113"/>
    </row>
    <row r="114" spans="2:7" s="225" customFormat="1" x14ac:dyDescent="0.2">
      <c r="B114"/>
      <c r="C114"/>
      <c r="D114"/>
      <c r="E114"/>
      <c r="F114"/>
      <c r="G114"/>
    </row>
    <row r="115" spans="2:7" s="225" customFormat="1" x14ac:dyDescent="0.2">
      <c r="B115"/>
      <c r="C115"/>
      <c r="D115"/>
      <c r="E115"/>
      <c r="F115"/>
      <c r="G115"/>
    </row>
    <row r="116" spans="2:7" s="225" customFormat="1" x14ac:dyDescent="0.2">
      <c r="B116"/>
      <c r="C116"/>
      <c r="D116"/>
      <c r="E116"/>
      <c r="F116"/>
      <c r="G116"/>
    </row>
    <row r="117" spans="2:7" s="225" customFormat="1" x14ac:dyDescent="0.2">
      <c r="B117"/>
      <c r="C117"/>
      <c r="D117"/>
      <c r="E117"/>
      <c r="F117"/>
      <c r="G117"/>
    </row>
    <row r="118" spans="2:7" s="225" customFormat="1" x14ac:dyDescent="0.2">
      <c r="B118"/>
      <c r="C118"/>
      <c r="D118"/>
      <c r="E118"/>
      <c r="F118"/>
      <c r="G118"/>
    </row>
    <row r="119" spans="2:7" s="225" customFormat="1" x14ac:dyDescent="0.2">
      <c r="B119"/>
      <c r="C119"/>
      <c r="D119"/>
      <c r="E119"/>
      <c r="F119"/>
      <c r="G119"/>
    </row>
    <row r="120" spans="2:7" s="225" customFormat="1" x14ac:dyDescent="0.2">
      <c r="B120"/>
      <c r="C120"/>
      <c r="D120"/>
      <c r="E120"/>
      <c r="F120"/>
      <c r="G120"/>
    </row>
    <row r="121" spans="2:7" s="225" customFormat="1" x14ac:dyDescent="0.2">
      <c r="B121"/>
      <c r="C121"/>
      <c r="D121"/>
      <c r="E121"/>
      <c r="F121"/>
      <c r="G121"/>
    </row>
    <row r="122" spans="2:7" s="225" customFormat="1" x14ac:dyDescent="0.2">
      <c r="B122"/>
      <c r="C122"/>
      <c r="D122"/>
      <c r="E122"/>
      <c r="F122"/>
      <c r="G122"/>
    </row>
    <row r="123" spans="2:7" s="225" customFormat="1" x14ac:dyDescent="0.2">
      <c r="B123"/>
      <c r="C123"/>
      <c r="D123"/>
      <c r="E123"/>
      <c r="F123"/>
      <c r="G123"/>
    </row>
    <row r="124" spans="2:7" s="225" customFormat="1" x14ac:dyDescent="0.2">
      <c r="B124"/>
      <c r="C124"/>
      <c r="D124"/>
      <c r="E124"/>
      <c r="F124"/>
      <c r="G124"/>
    </row>
    <row r="125" spans="2:7" s="225" customFormat="1" x14ac:dyDescent="0.2">
      <c r="B125"/>
      <c r="C125"/>
      <c r="D125"/>
      <c r="E125"/>
      <c r="F125"/>
      <c r="G125"/>
    </row>
    <row r="126" spans="2:7" s="225" customFormat="1" x14ac:dyDescent="0.2">
      <c r="B126"/>
      <c r="C126"/>
      <c r="D126"/>
      <c r="E126"/>
      <c r="F126"/>
      <c r="G126"/>
    </row>
    <row r="127" spans="2:7" s="225" customFormat="1" x14ac:dyDescent="0.2">
      <c r="B127"/>
      <c r="C127"/>
      <c r="D127"/>
      <c r="E127"/>
      <c r="F127"/>
      <c r="G127"/>
    </row>
    <row r="128" spans="2:7" s="225" customFormat="1" x14ac:dyDescent="0.2">
      <c r="B128"/>
      <c r="C128"/>
      <c r="D128"/>
      <c r="E128"/>
      <c r="F128"/>
      <c r="G128"/>
    </row>
    <row r="129" spans="2:7" s="225" customFormat="1" x14ac:dyDescent="0.2">
      <c r="B129"/>
      <c r="C129"/>
      <c r="D129"/>
      <c r="E129"/>
      <c r="F129"/>
      <c r="G129"/>
    </row>
    <row r="130" spans="2:7" s="225" customFormat="1" x14ac:dyDescent="0.2">
      <c r="B130"/>
      <c r="C130"/>
      <c r="D130"/>
      <c r="E130"/>
      <c r="F130"/>
      <c r="G130"/>
    </row>
    <row r="131" spans="2:7" s="225" customFormat="1" x14ac:dyDescent="0.2">
      <c r="B131"/>
      <c r="C131"/>
      <c r="D131"/>
      <c r="E131"/>
      <c r="F131"/>
      <c r="G131"/>
    </row>
    <row r="132" spans="2:7" s="225" customFormat="1" x14ac:dyDescent="0.2">
      <c r="B132"/>
      <c r="C132"/>
      <c r="D132"/>
      <c r="E132"/>
      <c r="F132"/>
      <c r="G132"/>
    </row>
    <row r="133" spans="2:7" s="225" customFormat="1" x14ac:dyDescent="0.2">
      <c r="B133"/>
      <c r="C133"/>
      <c r="D133"/>
      <c r="E133"/>
      <c r="F133"/>
      <c r="G133"/>
    </row>
    <row r="134" spans="2:7" s="225" customFormat="1" x14ac:dyDescent="0.2">
      <c r="B134"/>
      <c r="C134"/>
      <c r="D134"/>
      <c r="E134"/>
      <c r="F134"/>
      <c r="G134"/>
    </row>
    <row r="135" spans="2:7" s="225" customFormat="1" x14ac:dyDescent="0.2">
      <c r="B135"/>
      <c r="C135"/>
      <c r="D135"/>
      <c r="E135"/>
      <c r="F135"/>
      <c r="G135"/>
    </row>
    <row r="136" spans="2:7" s="225" customFormat="1" x14ac:dyDescent="0.2">
      <c r="B136"/>
      <c r="C136"/>
      <c r="D136"/>
      <c r="E136"/>
      <c r="F136"/>
      <c r="G136"/>
    </row>
    <row r="137" spans="2:7" s="225" customFormat="1" x14ac:dyDescent="0.2">
      <c r="B137"/>
      <c r="C137"/>
      <c r="D137"/>
      <c r="E137"/>
      <c r="F137"/>
      <c r="G137"/>
    </row>
    <row r="138" spans="2:7" s="225" customFormat="1" x14ac:dyDescent="0.2">
      <c r="B138"/>
      <c r="C138"/>
      <c r="D138"/>
      <c r="E138"/>
      <c r="F138"/>
      <c r="G138"/>
    </row>
    <row r="139" spans="2:7" s="225" customFormat="1" x14ac:dyDescent="0.2">
      <c r="B139"/>
      <c r="C139"/>
      <c r="D139"/>
      <c r="E139"/>
      <c r="F139"/>
      <c r="G139"/>
    </row>
    <row r="140" spans="2:7" s="225" customFormat="1" x14ac:dyDescent="0.2">
      <c r="B140"/>
      <c r="C140"/>
      <c r="D140"/>
      <c r="E140"/>
      <c r="F140"/>
      <c r="G140"/>
    </row>
    <row r="141" spans="2:7" s="225" customFormat="1" x14ac:dyDescent="0.2">
      <c r="B141"/>
      <c r="C141"/>
      <c r="D141"/>
      <c r="E141"/>
      <c r="F141"/>
      <c r="G141"/>
    </row>
    <row r="142" spans="2:7" s="225" customFormat="1" x14ac:dyDescent="0.2">
      <c r="B142"/>
      <c r="C142"/>
      <c r="D142"/>
      <c r="E142"/>
      <c r="F142"/>
      <c r="G142"/>
    </row>
    <row r="143" spans="2:7" s="225" customFormat="1" x14ac:dyDescent="0.2">
      <c r="B143"/>
      <c r="C143"/>
      <c r="D143"/>
      <c r="E143"/>
      <c r="F143"/>
      <c r="G143"/>
    </row>
    <row r="144" spans="2:7" s="225" customFormat="1" x14ac:dyDescent="0.2">
      <c r="B144"/>
      <c r="C144"/>
      <c r="D144"/>
      <c r="E144"/>
      <c r="F144"/>
      <c r="G144"/>
    </row>
    <row r="145" spans="2:7" s="225" customFormat="1" x14ac:dyDescent="0.2">
      <c r="B145"/>
      <c r="C145"/>
      <c r="D145"/>
      <c r="E145"/>
      <c r="F145"/>
      <c r="G145"/>
    </row>
    <row r="146" spans="2:7" s="225" customFormat="1" x14ac:dyDescent="0.2">
      <c r="B146"/>
      <c r="C146"/>
      <c r="D146"/>
      <c r="E146"/>
      <c r="F146"/>
      <c r="G146"/>
    </row>
    <row r="147" spans="2:7" s="225" customFormat="1" x14ac:dyDescent="0.2">
      <c r="B147"/>
      <c r="C147"/>
      <c r="D147"/>
      <c r="E147"/>
      <c r="F147"/>
      <c r="G147"/>
    </row>
    <row r="148" spans="2:7" s="225" customFormat="1" x14ac:dyDescent="0.2">
      <c r="B148"/>
      <c r="C148"/>
      <c r="D148"/>
      <c r="E148"/>
      <c r="F148"/>
      <c r="G148"/>
    </row>
    <row r="149" spans="2:7" s="225" customFormat="1" x14ac:dyDescent="0.2">
      <c r="B149"/>
      <c r="C149"/>
      <c r="D149"/>
      <c r="E149"/>
      <c r="F149"/>
      <c r="G149"/>
    </row>
    <row r="150" spans="2:7" s="225" customFormat="1" x14ac:dyDescent="0.2">
      <c r="B150"/>
      <c r="C150"/>
      <c r="D150"/>
      <c r="E150"/>
      <c r="F150"/>
      <c r="G150"/>
    </row>
    <row r="151" spans="2:7" s="225" customFormat="1" x14ac:dyDescent="0.2">
      <c r="B151"/>
      <c r="C151"/>
      <c r="D151"/>
      <c r="E151"/>
      <c r="F151"/>
      <c r="G151"/>
    </row>
    <row r="152" spans="2:7" s="225" customFormat="1" x14ac:dyDescent="0.2">
      <c r="B152"/>
      <c r="C152"/>
      <c r="D152"/>
      <c r="E152"/>
      <c r="F152"/>
      <c r="G152"/>
    </row>
    <row r="153" spans="2:7" s="225" customFormat="1" x14ac:dyDescent="0.2">
      <c r="B153"/>
      <c r="C153"/>
      <c r="D153"/>
      <c r="E153"/>
      <c r="F153"/>
      <c r="G153"/>
    </row>
    <row r="154" spans="2:7" s="225" customFormat="1" x14ac:dyDescent="0.2">
      <c r="B154"/>
      <c r="C154"/>
      <c r="D154"/>
      <c r="E154"/>
      <c r="F154"/>
      <c r="G154"/>
    </row>
    <row r="155" spans="2:7" s="225" customFormat="1" x14ac:dyDescent="0.2">
      <c r="B155"/>
      <c r="C155"/>
      <c r="D155"/>
      <c r="E155"/>
      <c r="F155"/>
      <c r="G155"/>
    </row>
    <row r="156" spans="2:7" s="225" customFormat="1" x14ac:dyDescent="0.2">
      <c r="B156"/>
      <c r="C156"/>
      <c r="D156"/>
      <c r="E156"/>
      <c r="F156"/>
      <c r="G156"/>
    </row>
    <row r="157" spans="2:7" s="225" customFormat="1" x14ac:dyDescent="0.2">
      <c r="B157"/>
      <c r="C157"/>
      <c r="D157"/>
      <c r="E157"/>
      <c r="F157"/>
      <c r="G157"/>
    </row>
    <row r="158" spans="2:7" s="225" customFormat="1" x14ac:dyDescent="0.2">
      <c r="B158"/>
      <c r="C158"/>
      <c r="D158"/>
      <c r="E158"/>
      <c r="F158"/>
      <c r="G158"/>
    </row>
    <row r="159" spans="2:7" s="225" customFormat="1" x14ac:dyDescent="0.2">
      <c r="B159"/>
      <c r="C159"/>
      <c r="D159"/>
      <c r="E159"/>
      <c r="F159"/>
      <c r="G159"/>
    </row>
    <row r="160" spans="2:7" s="225" customFormat="1" x14ac:dyDescent="0.2">
      <c r="B160"/>
      <c r="C160"/>
      <c r="D160"/>
      <c r="E160"/>
      <c r="F160"/>
      <c r="G160"/>
    </row>
    <row r="161" spans="2:7" s="225" customFormat="1" x14ac:dyDescent="0.2">
      <c r="B161"/>
      <c r="C161"/>
      <c r="D161"/>
      <c r="E161"/>
      <c r="F161"/>
      <c r="G161"/>
    </row>
    <row r="162" spans="2:7" s="225" customFormat="1" x14ac:dyDescent="0.2">
      <c r="B162"/>
      <c r="C162"/>
      <c r="D162"/>
      <c r="E162"/>
      <c r="F162"/>
      <c r="G162"/>
    </row>
    <row r="163" spans="2:7" s="225" customFormat="1" x14ac:dyDescent="0.2">
      <c r="B163"/>
      <c r="C163"/>
      <c r="D163"/>
      <c r="E163"/>
      <c r="F163"/>
      <c r="G163"/>
    </row>
    <row r="164" spans="2:7" s="225" customFormat="1" x14ac:dyDescent="0.2">
      <c r="B164"/>
      <c r="C164"/>
      <c r="D164"/>
      <c r="E164"/>
      <c r="F164"/>
      <c r="G164"/>
    </row>
    <row r="165" spans="2:7" s="225" customFormat="1" x14ac:dyDescent="0.2">
      <c r="B165"/>
      <c r="C165"/>
      <c r="D165"/>
      <c r="E165"/>
      <c r="F165"/>
      <c r="G165"/>
    </row>
    <row r="166" spans="2:7" s="225" customFormat="1" x14ac:dyDescent="0.2">
      <c r="B166"/>
      <c r="C166"/>
      <c r="D166"/>
      <c r="E166"/>
      <c r="F166"/>
      <c r="G166"/>
    </row>
    <row r="167" spans="2:7" s="225" customFormat="1" x14ac:dyDescent="0.2">
      <c r="B167"/>
      <c r="C167"/>
      <c r="D167"/>
      <c r="E167"/>
      <c r="F167"/>
      <c r="G167"/>
    </row>
    <row r="168" spans="2:7" s="225" customFormat="1" x14ac:dyDescent="0.2">
      <c r="B168"/>
      <c r="C168"/>
      <c r="D168"/>
      <c r="E168"/>
      <c r="F168"/>
      <c r="G168"/>
    </row>
    <row r="169" spans="2:7" s="225" customFormat="1" x14ac:dyDescent="0.2">
      <c r="B169"/>
      <c r="C169"/>
      <c r="D169"/>
      <c r="E169"/>
      <c r="F169"/>
      <c r="G169"/>
    </row>
    <row r="170" spans="2:7" s="225" customFormat="1" x14ac:dyDescent="0.2">
      <c r="B170"/>
      <c r="C170"/>
      <c r="D170"/>
      <c r="E170"/>
      <c r="F170"/>
      <c r="G170"/>
    </row>
    <row r="171" spans="2:7" s="225" customFormat="1" x14ac:dyDescent="0.2">
      <c r="B171"/>
      <c r="C171"/>
      <c r="D171"/>
      <c r="E171"/>
      <c r="F171"/>
      <c r="G171"/>
    </row>
    <row r="172" spans="2:7" s="225" customFormat="1" x14ac:dyDescent="0.2">
      <c r="B172"/>
      <c r="C172"/>
      <c r="D172"/>
      <c r="E172"/>
      <c r="F172"/>
      <c r="G172"/>
    </row>
    <row r="173" spans="2:7" s="225" customFormat="1" x14ac:dyDescent="0.2">
      <c r="B173"/>
      <c r="C173"/>
      <c r="D173"/>
      <c r="E173"/>
      <c r="F173"/>
      <c r="G173"/>
    </row>
    <row r="174" spans="2:7" s="225" customFormat="1" x14ac:dyDescent="0.2">
      <c r="B174"/>
      <c r="C174"/>
      <c r="D174"/>
      <c r="E174"/>
      <c r="F174"/>
      <c r="G174"/>
    </row>
    <row r="175" spans="2:7" s="225" customFormat="1" x14ac:dyDescent="0.2">
      <c r="B175"/>
      <c r="C175"/>
      <c r="D175"/>
      <c r="E175"/>
      <c r="F175"/>
      <c r="G175"/>
    </row>
    <row r="176" spans="2:7" s="225" customFormat="1" x14ac:dyDescent="0.2">
      <c r="B176"/>
      <c r="C176"/>
      <c r="D176"/>
      <c r="E176"/>
      <c r="F176"/>
      <c r="G176"/>
    </row>
    <row r="177" spans="2:7" s="225" customFormat="1" x14ac:dyDescent="0.2">
      <c r="B177"/>
      <c r="C177"/>
      <c r="D177"/>
      <c r="E177"/>
      <c r="F177"/>
      <c r="G177"/>
    </row>
    <row r="178" spans="2:7" s="225" customFormat="1" x14ac:dyDescent="0.2">
      <c r="B178"/>
      <c r="C178"/>
      <c r="D178"/>
      <c r="E178"/>
      <c r="F178"/>
      <c r="G178"/>
    </row>
    <row r="179" spans="2:7" s="225" customFormat="1" x14ac:dyDescent="0.2">
      <c r="B179"/>
      <c r="C179"/>
      <c r="D179"/>
      <c r="E179"/>
      <c r="F179"/>
      <c r="G179"/>
    </row>
    <row r="180" spans="2:7" s="225" customFormat="1" x14ac:dyDescent="0.2">
      <c r="B180"/>
      <c r="C180"/>
      <c r="D180"/>
      <c r="E180"/>
      <c r="F180"/>
      <c r="G180"/>
    </row>
    <row r="181" spans="2:7" s="225" customFormat="1" x14ac:dyDescent="0.2">
      <c r="B181"/>
      <c r="C181"/>
      <c r="D181"/>
      <c r="E181"/>
      <c r="F181"/>
      <c r="G181"/>
    </row>
    <row r="182" spans="2:7" s="225" customFormat="1" x14ac:dyDescent="0.2">
      <c r="B182"/>
      <c r="C182"/>
      <c r="D182"/>
      <c r="E182"/>
      <c r="F182"/>
      <c r="G182"/>
    </row>
    <row r="183" spans="2:7" s="225" customFormat="1" x14ac:dyDescent="0.2">
      <c r="B183"/>
      <c r="C183"/>
      <c r="D183"/>
      <c r="E183"/>
      <c r="F183"/>
      <c r="G183"/>
    </row>
    <row r="184" spans="2:7" s="225" customFormat="1" x14ac:dyDescent="0.2">
      <c r="B184"/>
      <c r="C184"/>
      <c r="D184"/>
      <c r="E184"/>
      <c r="F184"/>
      <c r="G184"/>
    </row>
    <row r="185" spans="2:7" s="225" customFormat="1" x14ac:dyDescent="0.2">
      <c r="B185"/>
      <c r="C185"/>
      <c r="D185"/>
      <c r="E185"/>
      <c r="F185"/>
      <c r="G185"/>
    </row>
    <row r="186" spans="2:7" s="225" customFormat="1" x14ac:dyDescent="0.2">
      <c r="B186"/>
      <c r="C186"/>
      <c r="D186"/>
      <c r="E186"/>
      <c r="F186"/>
      <c r="G186"/>
    </row>
    <row r="187" spans="2:7" s="225" customFormat="1" x14ac:dyDescent="0.2">
      <c r="B187"/>
      <c r="C187"/>
      <c r="D187"/>
      <c r="E187"/>
      <c r="F187"/>
      <c r="G187"/>
    </row>
    <row r="188" spans="2:7" s="225" customFormat="1" x14ac:dyDescent="0.2">
      <c r="B188"/>
      <c r="C188"/>
      <c r="D188"/>
      <c r="E188"/>
      <c r="F188"/>
      <c r="G188"/>
    </row>
    <row r="189" spans="2:7" s="225" customFormat="1" x14ac:dyDescent="0.2">
      <c r="B189"/>
      <c r="C189"/>
      <c r="D189"/>
      <c r="E189"/>
      <c r="F189"/>
      <c r="G189"/>
    </row>
    <row r="190" spans="2:7" s="225" customFormat="1" x14ac:dyDescent="0.2">
      <c r="B190"/>
      <c r="C190"/>
      <c r="D190"/>
      <c r="E190"/>
      <c r="F190"/>
      <c r="G190"/>
    </row>
    <row r="191" spans="2:7" s="225" customFormat="1" x14ac:dyDescent="0.2">
      <c r="B191"/>
      <c r="C191"/>
      <c r="D191"/>
      <c r="E191"/>
      <c r="F191"/>
      <c r="G191"/>
    </row>
    <row r="192" spans="2:7" s="225" customFormat="1" x14ac:dyDescent="0.2">
      <c r="B192"/>
      <c r="C192"/>
      <c r="D192"/>
      <c r="E192"/>
      <c r="F192"/>
      <c r="G192"/>
    </row>
    <row r="193" spans="2:7" s="225" customFormat="1" x14ac:dyDescent="0.2">
      <c r="B193"/>
      <c r="C193"/>
      <c r="D193"/>
      <c r="E193"/>
      <c r="F193"/>
      <c r="G193"/>
    </row>
    <row r="194" spans="2:7" s="225" customFormat="1" x14ac:dyDescent="0.2">
      <c r="B194"/>
      <c r="C194"/>
      <c r="D194"/>
      <c r="E194"/>
      <c r="F194"/>
      <c r="G194"/>
    </row>
    <row r="195" spans="2:7" s="225" customFormat="1" x14ac:dyDescent="0.2">
      <c r="B195"/>
      <c r="C195"/>
      <c r="D195"/>
      <c r="E195"/>
      <c r="F195"/>
      <c r="G195"/>
    </row>
    <row r="196" spans="2:7" s="225" customFormat="1" x14ac:dyDescent="0.2">
      <c r="B196"/>
      <c r="C196"/>
      <c r="D196"/>
      <c r="E196"/>
      <c r="F196"/>
      <c r="G196"/>
    </row>
    <row r="197" spans="2:7" s="225" customFormat="1" x14ac:dyDescent="0.2">
      <c r="B197"/>
      <c r="C197"/>
      <c r="D197"/>
      <c r="E197"/>
      <c r="F197"/>
      <c r="G197"/>
    </row>
    <row r="198" spans="2:7" s="225" customFormat="1" x14ac:dyDescent="0.2">
      <c r="B198"/>
      <c r="C198"/>
      <c r="D198"/>
      <c r="E198"/>
      <c r="F198"/>
      <c r="G198"/>
    </row>
    <row r="199" spans="2:7" s="225" customFormat="1" x14ac:dyDescent="0.2">
      <c r="B199"/>
      <c r="C199"/>
      <c r="D199"/>
      <c r="E199"/>
      <c r="F199"/>
      <c r="G199"/>
    </row>
    <row r="200" spans="2:7" s="225" customFormat="1" x14ac:dyDescent="0.2">
      <c r="B200"/>
      <c r="C200"/>
      <c r="D200"/>
      <c r="E200"/>
      <c r="F200"/>
      <c r="G200"/>
    </row>
    <row r="201" spans="2:7" s="225" customFormat="1" x14ac:dyDescent="0.2"/>
    <row r="202" spans="2:7" s="225" customFormat="1" x14ac:dyDescent="0.2"/>
    <row r="203" spans="2:7" s="225" customFormat="1" x14ac:dyDescent="0.2"/>
    <row r="204" spans="2:7" s="225" customFormat="1" x14ac:dyDescent="0.2"/>
    <row r="205" spans="2:7" s="225" customFormat="1" x14ac:dyDescent="0.2"/>
    <row r="206" spans="2:7" s="225" customFormat="1" x14ac:dyDescent="0.2"/>
    <row r="207" spans="2:7" s="225" customFormat="1" x14ac:dyDescent="0.2"/>
    <row r="208" spans="2:7" s="225" customFormat="1" x14ac:dyDescent="0.2"/>
    <row r="209" s="225" customFormat="1" x14ac:dyDescent="0.2"/>
    <row r="210" s="225" customFormat="1" x14ac:dyDescent="0.2"/>
    <row r="211" s="225" customFormat="1" x14ac:dyDescent="0.2"/>
    <row r="212" s="225" customFormat="1" x14ac:dyDescent="0.2"/>
    <row r="213" s="225" customFormat="1" x14ac:dyDescent="0.2"/>
    <row r="214" s="225" customFormat="1" x14ac:dyDescent="0.2"/>
    <row r="215" s="225" customFormat="1" x14ac:dyDescent="0.2"/>
    <row r="216" s="225" customFormat="1" x14ac:dyDescent="0.2"/>
    <row r="217" s="225" customFormat="1" x14ac:dyDescent="0.2"/>
    <row r="218" s="225" customFormat="1" x14ac:dyDescent="0.2"/>
    <row r="219" s="225" customFormat="1" x14ac:dyDescent="0.2"/>
    <row r="220" s="225" customFormat="1" x14ac:dyDescent="0.2"/>
    <row r="221" s="225" customFormat="1" x14ac:dyDescent="0.2"/>
    <row r="222" s="225" customFormat="1" x14ac:dyDescent="0.2"/>
    <row r="223" s="225" customFormat="1" x14ac:dyDescent="0.2"/>
    <row r="224" s="225" customFormat="1" x14ac:dyDescent="0.2"/>
    <row r="225" s="225" customFormat="1" x14ac:dyDescent="0.2"/>
    <row r="226" s="225" customFormat="1" x14ac:dyDescent="0.2"/>
    <row r="227" s="225" customFormat="1" x14ac:dyDescent="0.2"/>
    <row r="228" s="225" customFormat="1" x14ac:dyDescent="0.2"/>
    <row r="229" s="225" customFormat="1" x14ac:dyDescent="0.2"/>
    <row r="230" s="225" customFormat="1" x14ac:dyDescent="0.2"/>
    <row r="231" s="225" customFormat="1" x14ac:dyDescent="0.2"/>
    <row r="232" s="225" customFormat="1" x14ac:dyDescent="0.2"/>
    <row r="233" s="225" customFormat="1" x14ac:dyDescent="0.2"/>
    <row r="234" s="225" customFormat="1" x14ac:dyDescent="0.2"/>
    <row r="235" s="225" customFormat="1" x14ac:dyDescent="0.2"/>
    <row r="236" s="225" customFormat="1" x14ac:dyDescent="0.2"/>
    <row r="237" s="225" customFormat="1" x14ac:dyDescent="0.2"/>
    <row r="238" s="225" customFormat="1" x14ac:dyDescent="0.2"/>
    <row r="239" s="225" customFormat="1" x14ac:dyDescent="0.2"/>
    <row r="240" s="225" customFormat="1" x14ac:dyDescent="0.2"/>
    <row r="241" s="225" customFormat="1" x14ac:dyDescent="0.2"/>
    <row r="242" s="225" customFormat="1" x14ac:dyDescent="0.2"/>
    <row r="243" s="225" customFormat="1" x14ac:dyDescent="0.2"/>
    <row r="244" s="225" customFormat="1" x14ac:dyDescent="0.2"/>
    <row r="245" s="225" customFormat="1" x14ac:dyDescent="0.2"/>
    <row r="246" s="225" customFormat="1" x14ac:dyDescent="0.2"/>
    <row r="247" s="225" customFormat="1" x14ac:dyDescent="0.2"/>
    <row r="248" s="225" customFormat="1" x14ac:dyDescent="0.2"/>
    <row r="249" s="225" customFormat="1" x14ac:dyDescent="0.2"/>
    <row r="250" s="225" customFormat="1" x14ac:dyDescent="0.2"/>
    <row r="251" s="225" customFormat="1" x14ac:dyDescent="0.2"/>
    <row r="252" s="225" customFormat="1" x14ac:dyDescent="0.2"/>
    <row r="253" s="225" customFormat="1" x14ac:dyDescent="0.2"/>
    <row r="254" s="225" customFormat="1" x14ac:dyDescent="0.2"/>
    <row r="255" s="225" customFormat="1" x14ac:dyDescent="0.2"/>
    <row r="256" s="225" customFormat="1" x14ac:dyDescent="0.2"/>
    <row r="257" s="225" customFormat="1" x14ac:dyDescent="0.2"/>
    <row r="258" s="225" customFormat="1" x14ac:dyDescent="0.2"/>
    <row r="259" s="225" customFormat="1" x14ac:dyDescent="0.2"/>
    <row r="260" s="225" customFormat="1" x14ac:dyDescent="0.2"/>
    <row r="261" s="225" customFormat="1" x14ac:dyDescent="0.2"/>
    <row r="262" s="225" customFormat="1" x14ac:dyDescent="0.2"/>
    <row r="263" s="225" customFormat="1" x14ac:dyDescent="0.2"/>
    <row r="264" s="225" customFormat="1" x14ac:dyDescent="0.2"/>
    <row r="265" s="225" customFormat="1" x14ac:dyDescent="0.2"/>
    <row r="266" s="225" customFormat="1" x14ac:dyDescent="0.2"/>
    <row r="267" s="225" customFormat="1" x14ac:dyDescent="0.2"/>
    <row r="268" s="225" customFormat="1" x14ac:dyDescent="0.2"/>
    <row r="269" s="225" customFormat="1" x14ac:dyDescent="0.2"/>
    <row r="270" s="225" customFormat="1" x14ac:dyDescent="0.2"/>
    <row r="271" s="225" customFormat="1" x14ac:dyDescent="0.2"/>
    <row r="272" s="225" customFormat="1" x14ac:dyDescent="0.2"/>
    <row r="273" s="225" customFormat="1" x14ac:dyDescent="0.2"/>
    <row r="274" s="225" customFormat="1" x14ac:dyDescent="0.2"/>
    <row r="275" s="225" customFormat="1" x14ac:dyDescent="0.2"/>
    <row r="276" s="225" customFormat="1" x14ac:dyDescent="0.2"/>
    <row r="277" s="225" customFormat="1" x14ac:dyDescent="0.2"/>
    <row r="278" s="225" customFormat="1" x14ac:dyDescent="0.2"/>
    <row r="279" s="225" customFormat="1" x14ac:dyDescent="0.2"/>
    <row r="280" s="225" customFormat="1" x14ac:dyDescent="0.2"/>
    <row r="281" s="225" customFormat="1" x14ac:dyDescent="0.2"/>
    <row r="282" s="225" customFormat="1" x14ac:dyDescent="0.2"/>
    <row r="283" s="225" customFormat="1" x14ac:dyDescent="0.2"/>
    <row r="284" s="225" customFormat="1" x14ac:dyDescent="0.2"/>
    <row r="285" s="225" customFormat="1" x14ac:dyDescent="0.2"/>
    <row r="286" s="225" customFormat="1" x14ac:dyDescent="0.2"/>
    <row r="287" s="225" customFormat="1" x14ac:dyDescent="0.2"/>
    <row r="288" s="225" customFormat="1" x14ac:dyDescent="0.2"/>
    <row r="289" s="225" customFormat="1" x14ac:dyDescent="0.2"/>
    <row r="290" s="225" customFormat="1" x14ac:dyDescent="0.2"/>
    <row r="291" s="225" customFormat="1" x14ac:dyDescent="0.2"/>
    <row r="292" s="225" customFormat="1" x14ac:dyDescent="0.2"/>
    <row r="293" s="225" customFormat="1" x14ac:dyDescent="0.2"/>
    <row r="294" s="225" customFormat="1" x14ac:dyDescent="0.2"/>
    <row r="295" s="225" customFormat="1" x14ac:dyDescent="0.2"/>
    <row r="296" s="225" customFormat="1" x14ac:dyDescent="0.2"/>
    <row r="297" s="225" customFormat="1" x14ac:dyDescent="0.2"/>
    <row r="298" s="225" customFormat="1" x14ac:dyDescent="0.2"/>
    <row r="299" s="225" customFormat="1" x14ac:dyDescent="0.2"/>
    <row r="300" s="225" customFormat="1" x14ac:dyDescent="0.2"/>
    <row r="301" s="225" customFormat="1" x14ac:dyDescent="0.2"/>
    <row r="302" s="225" customFormat="1" x14ac:dyDescent="0.2"/>
    <row r="303" s="225" customFormat="1" x14ac:dyDescent="0.2"/>
    <row r="304" s="225" customFormat="1" x14ac:dyDescent="0.2"/>
    <row r="305" s="225" customFormat="1" x14ac:dyDescent="0.2"/>
    <row r="306" s="225" customFormat="1" x14ac:dyDescent="0.2"/>
    <row r="307" s="225" customFormat="1" x14ac:dyDescent="0.2"/>
    <row r="308" s="225" customFormat="1" x14ac:dyDescent="0.2"/>
    <row r="309" s="225" customFormat="1" x14ac:dyDescent="0.2"/>
    <row r="310" s="225" customFormat="1" x14ac:dyDescent="0.2"/>
    <row r="311" s="225" customFormat="1" x14ac:dyDescent="0.2"/>
    <row r="312" s="225" customFormat="1" x14ac:dyDescent="0.2"/>
    <row r="313" s="225" customFormat="1" x14ac:dyDescent="0.2"/>
    <row r="314" s="225" customFormat="1" x14ac:dyDescent="0.2"/>
    <row r="315" s="225" customFormat="1" x14ac:dyDescent="0.2"/>
    <row r="316" s="225" customFormat="1" x14ac:dyDescent="0.2"/>
    <row r="317" s="225" customFormat="1" x14ac:dyDescent="0.2"/>
    <row r="318" s="225" customFormat="1" x14ac:dyDescent="0.2"/>
    <row r="319" s="225" customFormat="1" x14ac:dyDescent="0.2"/>
    <row r="320" s="225" customFormat="1" x14ac:dyDescent="0.2"/>
    <row r="321" s="225" customFormat="1" x14ac:dyDescent="0.2"/>
    <row r="322" s="225" customFormat="1" x14ac:dyDescent="0.2"/>
    <row r="323" s="225" customFormat="1" x14ac:dyDescent="0.2"/>
    <row r="324" s="225" customFormat="1" x14ac:dyDescent="0.2"/>
    <row r="325" s="225" customFormat="1" x14ac:dyDescent="0.2"/>
    <row r="326" s="225" customFormat="1" x14ac:dyDescent="0.2"/>
    <row r="327" s="225" customFormat="1" x14ac:dyDescent="0.2"/>
    <row r="328" s="225" customFormat="1" x14ac:dyDescent="0.2"/>
    <row r="329" s="225" customFormat="1" x14ac:dyDescent="0.2"/>
    <row r="330" s="225" customFormat="1" x14ac:dyDescent="0.2"/>
    <row r="331" s="225" customFormat="1" x14ac:dyDescent="0.2"/>
    <row r="332" s="225" customFormat="1" x14ac:dyDescent="0.2"/>
    <row r="333" s="225" customFormat="1" x14ac:dyDescent="0.2"/>
    <row r="334" s="225" customFormat="1" x14ac:dyDescent="0.2"/>
    <row r="335" s="225" customFormat="1" x14ac:dyDescent="0.2"/>
    <row r="336" s="225" customFormat="1" x14ac:dyDescent="0.2"/>
    <row r="337" s="225" customFormat="1" x14ac:dyDescent="0.2"/>
    <row r="338" s="225" customFormat="1" x14ac:dyDescent="0.2"/>
    <row r="339" s="225" customFormat="1" x14ac:dyDescent="0.2"/>
    <row r="340" s="225" customFormat="1" x14ac:dyDescent="0.2"/>
    <row r="341" s="225" customFormat="1" x14ac:dyDescent="0.2"/>
    <row r="342" s="225" customFormat="1" x14ac:dyDescent="0.2"/>
    <row r="343" s="225" customFormat="1" x14ac:dyDescent="0.2"/>
    <row r="344" s="225" customFormat="1" x14ac:dyDescent="0.2"/>
    <row r="345" s="225" customFormat="1" x14ac:dyDescent="0.2"/>
    <row r="346" s="225" customFormat="1" x14ac:dyDescent="0.2"/>
    <row r="347" s="225" customFormat="1" x14ac:dyDescent="0.2"/>
    <row r="348" s="225" customFormat="1" x14ac:dyDescent="0.2"/>
    <row r="349" s="225" customFormat="1" x14ac:dyDescent="0.2"/>
    <row r="350" s="225" customFormat="1" x14ac:dyDescent="0.2"/>
    <row r="351" s="225" customFormat="1" x14ac:dyDescent="0.2"/>
    <row r="352" s="225" customFormat="1" x14ac:dyDescent="0.2"/>
    <row r="353" s="225" customFormat="1" x14ac:dyDescent="0.2"/>
    <row r="354" s="225" customFormat="1" x14ac:dyDescent="0.2"/>
    <row r="355" s="225" customFormat="1" x14ac:dyDescent="0.2"/>
    <row r="356" s="225" customFormat="1" x14ac:dyDescent="0.2"/>
    <row r="357" s="225" customFormat="1" x14ac:dyDescent="0.2"/>
    <row r="358" s="225" customFormat="1" x14ac:dyDescent="0.2"/>
    <row r="359" s="225" customFormat="1" x14ac:dyDescent="0.2"/>
    <row r="360" s="225" customFormat="1" x14ac:dyDescent="0.2"/>
    <row r="361" s="225" customFormat="1" x14ac:dyDescent="0.2"/>
    <row r="362" s="225" customFormat="1" x14ac:dyDescent="0.2"/>
    <row r="363" s="225" customFormat="1" x14ac:dyDescent="0.2"/>
    <row r="364" s="225" customFormat="1" x14ac:dyDescent="0.2"/>
    <row r="365" s="225" customFormat="1" x14ac:dyDescent="0.2"/>
    <row r="366" s="225" customFormat="1" x14ac:dyDescent="0.2"/>
    <row r="367" s="225" customFormat="1" x14ac:dyDescent="0.2"/>
    <row r="368" s="225" customFormat="1" x14ac:dyDescent="0.2"/>
    <row r="369" s="225" customFormat="1" x14ac:dyDescent="0.2"/>
    <row r="370" s="225" customFormat="1" x14ac:dyDescent="0.2"/>
    <row r="371" s="225" customFormat="1" x14ac:dyDescent="0.2"/>
    <row r="372" s="225" customFormat="1" x14ac:dyDescent="0.2"/>
    <row r="373" s="225" customFormat="1" x14ac:dyDescent="0.2"/>
    <row r="374" s="225" customFormat="1" x14ac:dyDescent="0.2"/>
    <row r="375" s="225" customFormat="1" x14ac:dyDescent="0.2"/>
    <row r="376" s="225" customFormat="1" x14ac:dyDescent="0.2"/>
    <row r="377" s="225" customFormat="1" x14ac:dyDescent="0.2"/>
    <row r="378" s="225" customFormat="1" x14ac:dyDescent="0.2"/>
    <row r="379" s="225" customFormat="1" x14ac:dyDescent="0.2"/>
    <row r="380" s="225" customFormat="1" x14ac:dyDescent="0.2"/>
    <row r="381" s="225" customFormat="1" x14ac:dyDescent="0.2"/>
    <row r="382" s="225" customFormat="1" x14ac:dyDescent="0.2"/>
    <row r="383" s="225" customFormat="1" x14ac:dyDescent="0.2"/>
    <row r="384" s="225" customFormat="1" x14ac:dyDescent="0.2"/>
    <row r="385" s="225" customFormat="1" x14ac:dyDescent="0.2"/>
    <row r="386" s="225" customFormat="1" x14ac:dyDescent="0.2"/>
    <row r="387" s="225" customFormat="1" x14ac:dyDescent="0.2"/>
    <row r="388" s="225" customFormat="1" x14ac:dyDescent="0.2"/>
    <row r="389" s="225" customFormat="1" x14ac:dyDescent="0.2"/>
    <row r="390" s="225" customFormat="1" x14ac:dyDescent="0.2"/>
    <row r="391" s="225" customFormat="1" x14ac:dyDescent="0.2"/>
    <row r="392" s="225" customFormat="1" x14ac:dyDescent="0.2"/>
    <row r="393" s="225" customFormat="1" x14ac:dyDescent="0.2"/>
    <row r="394" s="225" customFormat="1" x14ac:dyDescent="0.2"/>
    <row r="395" s="225" customFormat="1" x14ac:dyDescent="0.2"/>
    <row r="396" s="225" customFormat="1" x14ac:dyDescent="0.2"/>
    <row r="397" s="225" customFormat="1" x14ac:dyDescent="0.2"/>
    <row r="398" s="225" customFormat="1" x14ac:dyDescent="0.2"/>
    <row r="399" s="225" customFormat="1" x14ac:dyDescent="0.2"/>
    <row r="400" s="225" customFormat="1" x14ac:dyDescent="0.2"/>
    <row r="401" s="225" customFormat="1" x14ac:dyDescent="0.2"/>
    <row r="402" s="225" customFormat="1" x14ac:dyDescent="0.2"/>
    <row r="403" s="225" customFormat="1" x14ac:dyDescent="0.2"/>
    <row r="404" s="225" customFormat="1" x14ac:dyDescent="0.2"/>
    <row r="405" s="225" customFormat="1" x14ac:dyDescent="0.2"/>
    <row r="406" s="225" customFormat="1" x14ac:dyDescent="0.2"/>
    <row r="407" s="225" customFormat="1" x14ac:dyDescent="0.2"/>
    <row r="408" s="225" customFormat="1" x14ac:dyDescent="0.2"/>
    <row r="409" s="225" customFormat="1" x14ac:dyDescent="0.2"/>
    <row r="410" s="225" customFormat="1" x14ac:dyDescent="0.2"/>
    <row r="411" s="225" customFormat="1" x14ac:dyDescent="0.2"/>
    <row r="412" s="225" customFormat="1" x14ac:dyDescent="0.2"/>
    <row r="413" s="225" customFormat="1" x14ac:dyDescent="0.2"/>
    <row r="414" s="225" customFormat="1" x14ac:dyDescent="0.2"/>
    <row r="415" s="225" customFormat="1" x14ac:dyDescent="0.2"/>
    <row r="416" s="225" customFormat="1" x14ac:dyDescent="0.2"/>
    <row r="417" s="225" customFormat="1" x14ac:dyDescent="0.2"/>
    <row r="418" s="225" customFormat="1" x14ac:dyDescent="0.2"/>
    <row r="419" s="225" customFormat="1" x14ac:dyDescent="0.2"/>
    <row r="420" s="225" customFormat="1" x14ac:dyDescent="0.2"/>
    <row r="421" s="225" customFormat="1" x14ac:dyDescent="0.2"/>
    <row r="422" s="225" customFormat="1" x14ac:dyDescent="0.2"/>
    <row r="423" s="225" customFormat="1" x14ac:dyDescent="0.2"/>
    <row r="424" s="225" customFormat="1" x14ac:dyDescent="0.2"/>
    <row r="425" s="225" customFormat="1" x14ac:dyDescent="0.2"/>
    <row r="426" s="225" customFormat="1" x14ac:dyDescent="0.2"/>
    <row r="427" s="225" customFormat="1" x14ac:dyDescent="0.2"/>
    <row r="428" s="225" customFormat="1" x14ac:dyDescent="0.2"/>
    <row r="429" s="225" customFormat="1" x14ac:dyDescent="0.2"/>
    <row r="430" s="225" customFormat="1" x14ac:dyDescent="0.2"/>
    <row r="431" s="225" customFormat="1" x14ac:dyDescent="0.2"/>
    <row r="432" s="225" customFormat="1" x14ac:dyDescent="0.2"/>
    <row r="433" s="225" customFormat="1" x14ac:dyDescent="0.2"/>
    <row r="434" s="225" customFormat="1" x14ac:dyDescent="0.2"/>
    <row r="435" s="225" customFormat="1" x14ac:dyDescent="0.2"/>
    <row r="436" s="225" customFormat="1" x14ac:dyDescent="0.2"/>
    <row r="437" s="225" customFormat="1" x14ac:dyDescent="0.2"/>
    <row r="438" s="225" customFormat="1" x14ac:dyDescent="0.2"/>
    <row r="439" s="225" customFormat="1" x14ac:dyDescent="0.2"/>
    <row r="440" s="225" customFormat="1" x14ac:dyDescent="0.2"/>
    <row r="441" s="225" customFormat="1" x14ac:dyDescent="0.2"/>
    <row r="442" s="225" customFormat="1" x14ac:dyDescent="0.2"/>
    <row r="443" s="225" customFormat="1" x14ac:dyDescent="0.2"/>
    <row r="444" s="225" customFormat="1" x14ac:dyDescent="0.2"/>
    <row r="445" s="225" customFormat="1" x14ac:dyDescent="0.2"/>
    <row r="446" s="225" customFormat="1" x14ac:dyDescent="0.2"/>
    <row r="447" s="225" customFormat="1" x14ac:dyDescent="0.2"/>
    <row r="448" s="225" customFormat="1" x14ac:dyDescent="0.2"/>
    <row r="449" s="225" customFormat="1" x14ac:dyDescent="0.2"/>
    <row r="450" s="225" customFormat="1" x14ac:dyDescent="0.2"/>
    <row r="451" s="225" customFormat="1" x14ac:dyDescent="0.2"/>
    <row r="452" s="225" customFormat="1" x14ac:dyDescent="0.2"/>
    <row r="453" s="225" customFormat="1" x14ac:dyDescent="0.2"/>
    <row r="454" s="225" customFormat="1" x14ac:dyDescent="0.2"/>
    <row r="455" s="225" customFormat="1" x14ac:dyDescent="0.2"/>
    <row r="456" s="225" customFormat="1" x14ac:dyDescent="0.2"/>
    <row r="457" s="225" customFormat="1" x14ac:dyDescent="0.2"/>
    <row r="458" s="225" customFormat="1" x14ac:dyDescent="0.2"/>
    <row r="459" s="225" customFormat="1" x14ac:dyDescent="0.2"/>
    <row r="460" s="225" customFormat="1" x14ac:dyDescent="0.2"/>
    <row r="461" s="225" customFormat="1" x14ac:dyDescent="0.2"/>
    <row r="462" s="225" customFormat="1" x14ac:dyDescent="0.2"/>
    <row r="463" s="225" customFormat="1" x14ac:dyDescent="0.2"/>
    <row r="464" s="225" customFormat="1" x14ac:dyDescent="0.2"/>
    <row r="465" s="225" customFormat="1" x14ac:dyDescent="0.2"/>
    <row r="466" s="225" customFormat="1" x14ac:dyDescent="0.2"/>
    <row r="467" s="225" customFormat="1" x14ac:dyDescent="0.2"/>
    <row r="468" s="225" customFormat="1" x14ac:dyDescent="0.2"/>
    <row r="469" s="225" customFormat="1" x14ac:dyDescent="0.2"/>
    <row r="470" s="225" customFormat="1" x14ac:dyDescent="0.2"/>
    <row r="471" s="225" customFormat="1" x14ac:dyDescent="0.2"/>
    <row r="472" s="225" customFormat="1" x14ac:dyDescent="0.2"/>
    <row r="473" s="225" customFormat="1" x14ac:dyDescent="0.2"/>
    <row r="474" s="225" customFormat="1" x14ac:dyDescent="0.2"/>
    <row r="475" s="225" customFormat="1" x14ac:dyDescent="0.2"/>
    <row r="476" s="225" customFormat="1" x14ac:dyDescent="0.2"/>
    <row r="477" s="225" customFormat="1" x14ac:dyDescent="0.2"/>
    <row r="478" s="225" customFormat="1" x14ac:dyDescent="0.2"/>
    <row r="479" s="225" customFormat="1" x14ac:dyDescent="0.2"/>
    <row r="480" s="225" customFormat="1" x14ac:dyDescent="0.2"/>
    <row r="481" s="225" customFormat="1" x14ac:dyDescent="0.2"/>
    <row r="482" s="225" customFormat="1" x14ac:dyDescent="0.2"/>
    <row r="483" s="225" customFormat="1" x14ac:dyDescent="0.2"/>
    <row r="484" s="225" customFormat="1" x14ac:dyDescent="0.2"/>
    <row r="485" s="225" customFormat="1" x14ac:dyDescent="0.2"/>
    <row r="486" s="225" customFormat="1" x14ac:dyDescent="0.2"/>
    <row r="487" s="225" customFormat="1" x14ac:dyDescent="0.2"/>
    <row r="488" s="225" customFormat="1" x14ac:dyDescent="0.2"/>
    <row r="489" s="225" customFormat="1" x14ac:dyDescent="0.2"/>
    <row r="490" s="225" customFormat="1" x14ac:dyDescent="0.2"/>
    <row r="491" s="225" customFormat="1" x14ac:dyDescent="0.2"/>
    <row r="492" s="225" customFormat="1" x14ac:dyDescent="0.2"/>
    <row r="493" s="225" customFormat="1" x14ac:dyDescent="0.2"/>
    <row r="494" s="225" customFormat="1" x14ac:dyDescent="0.2"/>
    <row r="495" s="225" customFormat="1" x14ac:dyDescent="0.2"/>
    <row r="496" s="225" customFormat="1" x14ac:dyDescent="0.2"/>
    <row r="497" s="225" customFormat="1" x14ac:dyDescent="0.2"/>
    <row r="498" s="225" customFormat="1" x14ac:dyDescent="0.2"/>
    <row r="499" s="225" customFormat="1" x14ac:dyDescent="0.2"/>
    <row r="500" s="225" customFormat="1" x14ac:dyDescent="0.2"/>
    <row r="501" s="225" customFormat="1" x14ac:dyDescent="0.2"/>
    <row r="502" s="225" customFormat="1" x14ac:dyDescent="0.2"/>
    <row r="503" s="225" customFormat="1" x14ac:dyDescent="0.2"/>
    <row r="504" s="225" customFormat="1" x14ac:dyDescent="0.2"/>
    <row r="505" s="225" customFormat="1" x14ac:dyDescent="0.2"/>
    <row r="506" s="225" customFormat="1" x14ac:dyDescent="0.2"/>
    <row r="507" s="225" customFormat="1" x14ac:dyDescent="0.2"/>
    <row r="508" s="225" customFormat="1" x14ac:dyDescent="0.2"/>
    <row r="509" s="225" customFormat="1" x14ac:dyDescent="0.2"/>
    <row r="510" s="225" customFormat="1" x14ac:dyDescent="0.2"/>
    <row r="511" s="225" customFormat="1" x14ac:dyDescent="0.2"/>
    <row r="512" s="225" customFormat="1" x14ac:dyDescent="0.2"/>
    <row r="513" s="225" customFormat="1" x14ac:dyDescent="0.2"/>
    <row r="514" s="225" customFormat="1" x14ac:dyDescent="0.2"/>
    <row r="515" s="225" customFormat="1" x14ac:dyDescent="0.2"/>
    <row r="516" s="225" customFormat="1" x14ac:dyDescent="0.2"/>
    <row r="517" s="225" customFormat="1" x14ac:dyDescent="0.2"/>
    <row r="518" s="225" customFormat="1" x14ac:dyDescent="0.2"/>
    <row r="519" s="225" customFormat="1" x14ac:dyDescent="0.2"/>
    <row r="520" s="225" customFormat="1" x14ac:dyDescent="0.2"/>
    <row r="521" s="225" customFormat="1" x14ac:dyDescent="0.2"/>
    <row r="522" s="225" customFormat="1" x14ac:dyDescent="0.2"/>
    <row r="523" s="225" customFormat="1" x14ac:dyDescent="0.2"/>
    <row r="524" s="225" customFormat="1" x14ac:dyDescent="0.2"/>
    <row r="525" s="225" customFormat="1" x14ac:dyDescent="0.2"/>
    <row r="526" s="225" customFormat="1" x14ac:dyDescent="0.2"/>
    <row r="527" s="225" customFormat="1" x14ac:dyDescent="0.2"/>
    <row r="528" s="225" customFormat="1" x14ac:dyDescent="0.2"/>
    <row r="529" s="225" customFormat="1" x14ac:dyDescent="0.2"/>
    <row r="530" s="225" customFormat="1" x14ac:dyDescent="0.2"/>
    <row r="531" s="225" customFormat="1" x14ac:dyDescent="0.2"/>
    <row r="532" s="225" customFormat="1" x14ac:dyDescent="0.2"/>
    <row r="533" s="225" customFormat="1" x14ac:dyDescent="0.2"/>
    <row r="534" s="225" customFormat="1" x14ac:dyDescent="0.2"/>
    <row r="535" s="225" customFormat="1" x14ac:dyDescent="0.2"/>
    <row r="536" s="225" customFormat="1" x14ac:dyDescent="0.2"/>
    <row r="537" s="225" customFormat="1" x14ac:dyDescent="0.2"/>
    <row r="538" s="225" customFormat="1" x14ac:dyDescent="0.2"/>
    <row r="539" s="225" customFormat="1" x14ac:dyDescent="0.2"/>
    <row r="540" s="225" customFormat="1" x14ac:dyDescent="0.2"/>
    <row r="541" s="225" customFormat="1" x14ac:dyDescent="0.2"/>
    <row r="542" s="225" customFormat="1" x14ac:dyDescent="0.2"/>
    <row r="543" s="225" customFormat="1" x14ac:dyDescent="0.2"/>
    <row r="544" s="225" customFormat="1" x14ac:dyDescent="0.2"/>
    <row r="545" s="225" customFormat="1" x14ac:dyDescent="0.2"/>
    <row r="546" s="225" customFormat="1" x14ac:dyDescent="0.2"/>
    <row r="547" s="225" customFormat="1" x14ac:dyDescent="0.2"/>
    <row r="548" s="225" customFormat="1" x14ac:dyDescent="0.2"/>
    <row r="549" s="225" customFormat="1" x14ac:dyDescent="0.2"/>
    <row r="550" s="225" customFormat="1" x14ac:dyDescent="0.2"/>
    <row r="551" s="225" customFormat="1" x14ac:dyDescent="0.2"/>
    <row r="552" s="225" customFormat="1" x14ac:dyDescent="0.2"/>
    <row r="553" s="225" customFormat="1" x14ac:dyDescent="0.2"/>
    <row r="554" s="225" customFormat="1" x14ac:dyDescent="0.2"/>
    <row r="555" s="225" customFormat="1" x14ac:dyDescent="0.2"/>
    <row r="556" s="225" customFormat="1" x14ac:dyDescent="0.2"/>
    <row r="557" s="225" customFormat="1" x14ac:dyDescent="0.2"/>
    <row r="558" s="225" customFormat="1" x14ac:dyDescent="0.2"/>
    <row r="559" s="225" customFormat="1" x14ac:dyDescent="0.2"/>
    <row r="560" s="225" customFormat="1" x14ac:dyDescent="0.2"/>
    <row r="561" s="225" customFormat="1" x14ac:dyDescent="0.2"/>
    <row r="562" s="225" customFormat="1" x14ac:dyDescent="0.2"/>
    <row r="563" s="225" customFormat="1" x14ac:dyDescent="0.2"/>
    <row r="564" s="225" customFormat="1" x14ac:dyDescent="0.2"/>
    <row r="565" s="225" customFormat="1" x14ac:dyDescent="0.2"/>
    <row r="566" s="225" customFormat="1" x14ac:dyDescent="0.2"/>
    <row r="567" s="225" customFormat="1" x14ac:dyDescent="0.2"/>
    <row r="568" s="225" customFormat="1" x14ac:dyDescent="0.2"/>
    <row r="569" s="225" customFormat="1" x14ac:dyDescent="0.2"/>
    <row r="570" s="225" customFormat="1" x14ac:dyDescent="0.2"/>
    <row r="571" s="225" customFormat="1" x14ac:dyDescent="0.2"/>
    <row r="572" s="225" customFormat="1" x14ac:dyDescent="0.2"/>
    <row r="573" s="225" customFormat="1" x14ac:dyDescent="0.2"/>
    <row r="574" s="225" customFormat="1" x14ac:dyDescent="0.2"/>
    <row r="575" s="225" customFormat="1" x14ac:dyDescent="0.2"/>
    <row r="576" s="225" customFormat="1" x14ac:dyDescent="0.2"/>
    <row r="577" s="225" customFormat="1" x14ac:dyDescent="0.2"/>
    <row r="578" s="225" customFormat="1" x14ac:dyDescent="0.2"/>
    <row r="579" s="225" customFormat="1" x14ac:dyDescent="0.2"/>
    <row r="580" s="225" customFormat="1" x14ac:dyDescent="0.2"/>
    <row r="581" s="225" customFormat="1" x14ac:dyDescent="0.2"/>
    <row r="582" s="225" customFormat="1" x14ac:dyDescent="0.2"/>
    <row r="583" s="225" customFormat="1" x14ac:dyDescent="0.2"/>
    <row r="584" s="225" customFormat="1" x14ac:dyDescent="0.2"/>
    <row r="585" s="225" customFormat="1" x14ac:dyDescent="0.2"/>
    <row r="586" s="225" customFormat="1" x14ac:dyDescent="0.2"/>
    <row r="587" s="225" customFormat="1" x14ac:dyDescent="0.2"/>
    <row r="588" s="225" customFormat="1" x14ac:dyDescent="0.2"/>
    <row r="589" s="225" customFormat="1" x14ac:dyDescent="0.2"/>
    <row r="590" s="225" customFormat="1" x14ac:dyDescent="0.2"/>
    <row r="591" s="225" customFormat="1" x14ac:dyDescent="0.2"/>
    <row r="592" s="225" customFormat="1" x14ac:dyDescent="0.2"/>
    <row r="593" s="225" customFormat="1" x14ac:dyDescent="0.2"/>
    <row r="594" s="225" customFormat="1" x14ac:dyDescent="0.2"/>
    <row r="595" s="225" customFormat="1" x14ac:dyDescent="0.2"/>
    <row r="596" s="225" customFormat="1" x14ac:dyDescent="0.2"/>
    <row r="597" s="225" customFormat="1" x14ac:dyDescent="0.2"/>
    <row r="598" s="225" customFormat="1" x14ac:dyDescent="0.2"/>
    <row r="599" s="225" customFormat="1" x14ac:dyDescent="0.2"/>
    <row r="600" s="225" customFormat="1" x14ac:dyDescent="0.2"/>
    <row r="601" s="225" customFormat="1" x14ac:dyDescent="0.2"/>
    <row r="602" s="225" customFormat="1" x14ac:dyDescent="0.2"/>
    <row r="603" s="225" customFormat="1" x14ac:dyDescent="0.2"/>
    <row r="604" s="225" customFormat="1" x14ac:dyDescent="0.2"/>
    <row r="605" s="225" customFormat="1" x14ac:dyDescent="0.2"/>
    <row r="606" s="225" customFormat="1" x14ac:dyDescent="0.2"/>
    <row r="607" s="225" customFormat="1" x14ac:dyDescent="0.2"/>
    <row r="608" s="225" customFormat="1" x14ac:dyDescent="0.2"/>
    <row r="609" s="225" customFormat="1" x14ac:dyDescent="0.2"/>
    <row r="610" s="225" customFormat="1" x14ac:dyDescent="0.2"/>
    <row r="611" s="225" customFormat="1" x14ac:dyDescent="0.2"/>
    <row r="612" s="225" customFormat="1" x14ac:dyDescent="0.2"/>
    <row r="613" s="225" customFormat="1" x14ac:dyDescent="0.2"/>
    <row r="614" s="225" customFormat="1" x14ac:dyDescent="0.2"/>
    <row r="615" s="225" customFormat="1" x14ac:dyDescent="0.2"/>
    <row r="616" s="225" customFormat="1" x14ac:dyDescent="0.2"/>
    <row r="617" s="225" customFormat="1" x14ac:dyDescent="0.2"/>
    <row r="618" s="225" customFormat="1" x14ac:dyDescent="0.2"/>
    <row r="619" s="225" customFormat="1" x14ac:dyDescent="0.2"/>
    <row r="620" s="225" customFormat="1" x14ac:dyDescent="0.2"/>
    <row r="621" s="225" customFormat="1" x14ac:dyDescent="0.2"/>
    <row r="622" s="225" customFormat="1" x14ac:dyDescent="0.2"/>
    <row r="623" s="225" customFormat="1" x14ac:dyDescent="0.2"/>
    <row r="624" s="225" customFormat="1" x14ac:dyDescent="0.2"/>
    <row r="625" s="225" customFormat="1" x14ac:dyDescent="0.2"/>
    <row r="626" s="225" customFormat="1" x14ac:dyDescent="0.2"/>
    <row r="627" s="225" customFormat="1" x14ac:dyDescent="0.2"/>
    <row r="628" s="225" customFormat="1" x14ac:dyDescent="0.2"/>
    <row r="629" s="225" customFormat="1" x14ac:dyDescent="0.2"/>
    <row r="630" s="225" customFormat="1" x14ac:dyDescent="0.2"/>
    <row r="631" s="225" customFormat="1" x14ac:dyDescent="0.2"/>
    <row r="632" s="225" customFormat="1" x14ac:dyDescent="0.2"/>
    <row r="633" s="225" customFormat="1" x14ac:dyDescent="0.2"/>
    <row r="634" s="225" customFormat="1" x14ac:dyDescent="0.2"/>
    <row r="635" s="225" customFormat="1" x14ac:dyDescent="0.2"/>
    <row r="636" s="225" customFormat="1" x14ac:dyDescent="0.2"/>
    <row r="637" s="225" customFormat="1" x14ac:dyDescent="0.2"/>
    <row r="638" s="225" customFormat="1" x14ac:dyDescent="0.2"/>
    <row r="639" s="225" customFormat="1" x14ac:dyDescent="0.2"/>
    <row r="640" s="225" customFormat="1" x14ac:dyDescent="0.2"/>
    <row r="641" s="225" customFormat="1" x14ac:dyDescent="0.2"/>
    <row r="642" s="225" customFormat="1" x14ac:dyDescent="0.2"/>
    <row r="643" s="225" customFormat="1" x14ac:dyDescent="0.2"/>
    <row r="644" s="225" customFormat="1" x14ac:dyDescent="0.2"/>
    <row r="645" s="225" customFormat="1" x14ac:dyDescent="0.2"/>
    <row r="646" s="225" customFormat="1" x14ac:dyDescent="0.2"/>
    <row r="647" s="225" customFormat="1" x14ac:dyDescent="0.2"/>
    <row r="648" s="225" customFormat="1" x14ac:dyDescent="0.2"/>
    <row r="649" s="225" customFormat="1" x14ac:dyDescent="0.2"/>
    <row r="650" s="225" customFormat="1" x14ac:dyDescent="0.2"/>
    <row r="651" s="225" customFormat="1" x14ac:dyDescent="0.2"/>
    <row r="652" s="225" customFormat="1" x14ac:dyDescent="0.2"/>
    <row r="653" s="225" customFormat="1" x14ac:dyDescent="0.2"/>
    <row r="654" s="225" customFormat="1" x14ac:dyDescent="0.2"/>
    <row r="655" s="225" customFormat="1" x14ac:dyDescent="0.2"/>
    <row r="656" s="225" customFormat="1" x14ac:dyDescent="0.2"/>
    <row r="657" s="225" customFormat="1" x14ac:dyDescent="0.2"/>
    <row r="658" s="225" customFormat="1" x14ac:dyDescent="0.2"/>
    <row r="659" s="225" customFormat="1" x14ac:dyDescent="0.2"/>
    <row r="660" s="225" customFormat="1" x14ac:dyDescent="0.2"/>
    <row r="661" s="225" customFormat="1" x14ac:dyDescent="0.2"/>
    <row r="662" s="225" customFormat="1" x14ac:dyDescent="0.2"/>
    <row r="663" s="225" customFormat="1" x14ac:dyDescent="0.2"/>
    <row r="664" s="225" customFormat="1" x14ac:dyDescent="0.2"/>
    <row r="665" s="225" customFormat="1" x14ac:dyDescent="0.2"/>
    <row r="666" s="225" customFormat="1" x14ac:dyDescent="0.2"/>
    <row r="667" s="225" customFormat="1" x14ac:dyDescent="0.2"/>
    <row r="668" s="225" customFormat="1" x14ac:dyDescent="0.2"/>
    <row r="669" s="225" customFormat="1" x14ac:dyDescent="0.2"/>
    <row r="670" s="225" customFormat="1" x14ac:dyDescent="0.2"/>
    <row r="671" s="225" customFormat="1" x14ac:dyDescent="0.2"/>
    <row r="672" s="225" customFormat="1" x14ac:dyDescent="0.2"/>
    <row r="673" s="225" customFormat="1" x14ac:dyDescent="0.2"/>
    <row r="674" s="225" customFormat="1" x14ac:dyDescent="0.2"/>
    <row r="675" s="225" customFormat="1" x14ac:dyDescent="0.2"/>
    <row r="676" s="225" customFormat="1" x14ac:dyDescent="0.2"/>
    <row r="677" s="225" customFormat="1" x14ac:dyDescent="0.2"/>
    <row r="678" s="225" customFormat="1" x14ac:dyDescent="0.2"/>
    <row r="679" s="225" customFormat="1" x14ac:dyDescent="0.2"/>
    <row r="680" s="225" customFormat="1" x14ac:dyDescent="0.2"/>
    <row r="681" s="225" customFormat="1" x14ac:dyDescent="0.2"/>
    <row r="682" s="225" customFormat="1" x14ac:dyDescent="0.2"/>
    <row r="683" s="225" customFormat="1" x14ac:dyDescent="0.2"/>
    <row r="684" s="225" customFormat="1" x14ac:dyDescent="0.2"/>
    <row r="685" s="225" customFormat="1" x14ac:dyDescent="0.2"/>
    <row r="686" s="225" customFormat="1" x14ac:dyDescent="0.2"/>
    <row r="687" s="225" customFormat="1" x14ac:dyDescent="0.2"/>
    <row r="688" s="225" customFormat="1" x14ac:dyDescent="0.2"/>
    <row r="689" s="225" customFormat="1" x14ac:dyDescent="0.2"/>
    <row r="690" s="225" customFormat="1" x14ac:dyDescent="0.2"/>
    <row r="691" s="225" customFormat="1" x14ac:dyDescent="0.2"/>
    <row r="692" s="225" customFormat="1" x14ac:dyDescent="0.2"/>
    <row r="693" s="225" customFormat="1" x14ac:dyDescent="0.2"/>
    <row r="694" s="225" customFormat="1" x14ac:dyDescent="0.2"/>
    <row r="695" s="225" customFormat="1" x14ac:dyDescent="0.2"/>
    <row r="696" s="225" customFormat="1" x14ac:dyDescent="0.2"/>
    <row r="697" s="225" customFormat="1" x14ac:dyDescent="0.2"/>
    <row r="698" s="225" customFormat="1" x14ac:dyDescent="0.2"/>
    <row r="699" s="225" customFormat="1" x14ac:dyDescent="0.2"/>
    <row r="700" s="225" customFormat="1" x14ac:dyDescent="0.2"/>
    <row r="701" s="225" customFormat="1" x14ac:dyDescent="0.2"/>
    <row r="702" s="225" customFormat="1" x14ac:dyDescent="0.2"/>
    <row r="703" s="225" customFormat="1" x14ac:dyDescent="0.2"/>
    <row r="704" s="225" customFormat="1" x14ac:dyDescent="0.2"/>
    <row r="705" s="225" customFormat="1" x14ac:dyDescent="0.2"/>
    <row r="706" s="225" customFormat="1" x14ac:dyDescent="0.2"/>
    <row r="707" s="225" customFormat="1" x14ac:dyDescent="0.2"/>
    <row r="708" s="225" customFormat="1" x14ac:dyDescent="0.2"/>
    <row r="709" s="225" customFormat="1" x14ac:dyDescent="0.2"/>
    <row r="710" s="225" customFormat="1" x14ac:dyDescent="0.2"/>
    <row r="711" s="225" customFormat="1" x14ac:dyDescent="0.2"/>
    <row r="712" s="225" customFormat="1" x14ac:dyDescent="0.2"/>
    <row r="713" s="225" customFormat="1" x14ac:dyDescent="0.2"/>
    <row r="714" s="225" customFormat="1" x14ac:dyDescent="0.2"/>
    <row r="715" s="225" customFormat="1" x14ac:dyDescent="0.2"/>
    <row r="716" s="225" customFormat="1" x14ac:dyDescent="0.2"/>
    <row r="717" s="225" customFormat="1" x14ac:dyDescent="0.2"/>
    <row r="718" s="225" customFormat="1" x14ac:dyDescent="0.2"/>
    <row r="719" s="225" customFormat="1" x14ac:dyDescent="0.2"/>
    <row r="720" s="225" customFormat="1" x14ac:dyDescent="0.2"/>
    <row r="721" s="225" customFormat="1" x14ac:dyDescent="0.2"/>
    <row r="722" s="225" customFormat="1" x14ac:dyDescent="0.2"/>
    <row r="723" s="225" customFormat="1" x14ac:dyDescent="0.2"/>
    <row r="724" s="225" customFormat="1" x14ac:dyDescent="0.2"/>
    <row r="725" s="225" customFormat="1" x14ac:dyDescent="0.2"/>
    <row r="726" s="225" customFormat="1" x14ac:dyDescent="0.2"/>
    <row r="727" s="225" customFormat="1" x14ac:dyDescent="0.2"/>
    <row r="728" s="225" customFormat="1" x14ac:dyDescent="0.2"/>
    <row r="729" s="225" customFormat="1" x14ac:dyDescent="0.2"/>
    <row r="730" s="225" customFormat="1" x14ac:dyDescent="0.2"/>
    <row r="731" s="225" customFormat="1" x14ac:dyDescent="0.2"/>
    <row r="732" s="225" customFormat="1" x14ac:dyDescent="0.2"/>
    <row r="733" s="225" customFormat="1" x14ac:dyDescent="0.2"/>
    <row r="734" s="225" customFormat="1" x14ac:dyDescent="0.2"/>
    <row r="735" s="225" customFormat="1" x14ac:dyDescent="0.2"/>
    <row r="736" s="225" customFormat="1" x14ac:dyDescent="0.2"/>
    <row r="737" s="225" customFormat="1" x14ac:dyDescent="0.2"/>
    <row r="738" s="225" customFormat="1" x14ac:dyDescent="0.2"/>
    <row r="739" s="225" customFormat="1" x14ac:dyDescent="0.2"/>
    <row r="740" s="225" customFormat="1" x14ac:dyDescent="0.2"/>
    <row r="741" s="225" customFormat="1" x14ac:dyDescent="0.2"/>
    <row r="742" s="225" customFormat="1" x14ac:dyDescent="0.2"/>
    <row r="743" s="225" customFormat="1" x14ac:dyDescent="0.2"/>
    <row r="744" s="225" customFormat="1" x14ac:dyDescent="0.2"/>
    <row r="745" s="225" customFormat="1" x14ac:dyDescent="0.2"/>
    <row r="746" s="225" customFormat="1" x14ac:dyDescent="0.2"/>
    <row r="747" s="225" customFormat="1" x14ac:dyDescent="0.2"/>
    <row r="748" s="225" customFormat="1" x14ac:dyDescent="0.2"/>
    <row r="749" s="225" customFormat="1" x14ac:dyDescent="0.2"/>
    <row r="750" s="225" customFormat="1" x14ac:dyDescent="0.2"/>
    <row r="751" s="225" customFormat="1" x14ac:dyDescent="0.2"/>
    <row r="752" s="225" customFormat="1" x14ac:dyDescent="0.2"/>
    <row r="753" s="225" customFormat="1" x14ac:dyDescent="0.2"/>
    <row r="754" s="225" customFormat="1" x14ac:dyDescent="0.2"/>
    <row r="755" s="225" customFormat="1" x14ac:dyDescent="0.2"/>
    <row r="756" s="225" customFormat="1" x14ac:dyDescent="0.2"/>
    <row r="757" s="225" customFormat="1" x14ac:dyDescent="0.2"/>
    <row r="758" s="225" customFormat="1" x14ac:dyDescent="0.2"/>
    <row r="759" s="225" customFormat="1" x14ac:dyDescent="0.2"/>
    <row r="760" s="225" customFormat="1" x14ac:dyDescent="0.2"/>
    <row r="761" s="225" customFormat="1" x14ac:dyDescent="0.2"/>
    <row r="762" s="225" customFormat="1" x14ac:dyDescent="0.2"/>
    <row r="763" s="225" customFormat="1" x14ac:dyDescent="0.2"/>
    <row r="764" s="225" customFormat="1" x14ac:dyDescent="0.2"/>
    <row r="765" s="225" customFormat="1" x14ac:dyDescent="0.2"/>
    <row r="766" s="225" customFormat="1" x14ac:dyDescent="0.2"/>
    <row r="767" s="225" customFormat="1" x14ac:dyDescent="0.2"/>
    <row r="768" s="225" customFormat="1" x14ac:dyDescent="0.2"/>
    <row r="769" s="225" customFormat="1" x14ac:dyDescent="0.2"/>
    <row r="770" s="225" customFormat="1" x14ac:dyDescent="0.2"/>
    <row r="771" s="225" customFormat="1" x14ac:dyDescent="0.2"/>
    <row r="772" s="225" customFormat="1" x14ac:dyDescent="0.2"/>
    <row r="773" s="225" customFormat="1" x14ac:dyDescent="0.2"/>
    <row r="774" s="225" customFormat="1" x14ac:dyDescent="0.2"/>
    <row r="775" s="225" customFormat="1" x14ac:dyDescent="0.2"/>
    <row r="776" s="225" customFormat="1" x14ac:dyDescent="0.2"/>
    <row r="777" s="225" customFormat="1" x14ac:dyDescent="0.2"/>
    <row r="778" s="225" customFormat="1" x14ac:dyDescent="0.2"/>
    <row r="779" s="225" customFormat="1" x14ac:dyDescent="0.2"/>
    <row r="780" s="225" customFormat="1" x14ac:dyDescent="0.2"/>
    <row r="781" s="225" customFormat="1" x14ac:dyDescent="0.2"/>
    <row r="782" s="225" customFormat="1" x14ac:dyDescent="0.2"/>
    <row r="783" s="225" customFormat="1" x14ac:dyDescent="0.2"/>
    <row r="784" s="225" customFormat="1" x14ac:dyDescent="0.2"/>
    <row r="785" s="225" customFormat="1" x14ac:dyDescent="0.2"/>
    <row r="786" s="225" customFormat="1" x14ac:dyDescent="0.2"/>
    <row r="787" s="225" customFormat="1" x14ac:dyDescent="0.2"/>
    <row r="788" s="225" customFormat="1" x14ac:dyDescent="0.2"/>
    <row r="789" s="225" customFormat="1" x14ac:dyDescent="0.2"/>
    <row r="790" s="225" customFormat="1" x14ac:dyDescent="0.2"/>
    <row r="791" s="225" customFormat="1" x14ac:dyDescent="0.2"/>
    <row r="792" s="225" customFormat="1" x14ac:dyDescent="0.2"/>
    <row r="793" s="225" customFormat="1" x14ac:dyDescent="0.2"/>
    <row r="794" s="225" customFormat="1" x14ac:dyDescent="0.2"/>
    <row r="795" s="225" customFormat="1" x14ac:dyDescent="0.2"/>
    <row r="796" s="225" customFormat="1" x14ac:dyDescent="0.2"/>
    <row r="797" s="225" customFormat="1" x14ac:dyDescent="0.2"/>
    <row r="798" s="225" customFormat="1" x14ac:dyDescent="0.2"/>
    <row r="799" s="225" customFormat="1" x14ac:dyDescent="0.2"/>
    <row r="800" s="225" customFormat="1" x14ac:dyDescent="0.2"/>
    <row r="801" s="225" customFormat="1" x14ac:dyDescent="0.2"/>
    <row r="802" s="225" customFormat="1" x14ac:dyDescent="0.2"/>
    <row r="803" s="225" customFormat="1" x14ac:dyDescent="0.2"/>
    <row r="804" s="225" customFormat="1" x14ac:dyDescent="0.2"/>
    <row r="805" s="225" customFormat="1" x14ac:dyDescent="0.2"/>
    <row r="806" s="225" customFormat="1" x14ac:dyDescent="0.2"/>
    <row r="807" s="225" customFormat="1" x14ac:dyDescent="0.2"/>
    <row r="808" s="225" customFormat="1" x14ac:dyDescent="0.2"/>
    <row r="809" s="225" customFormat="1" x14ac:dyDescent="0.2"/>
    <row r="810" s="225" customFormat="1" x14ac:dyDescent="0.2"/>
    <row r="811" s="225" customFormat="1" x14ac:dyDescent="0.2"/>
    <row r="812" s="225" customFormat="1" x14ac:dyDescent="0.2"/>
    <row r="813" s="225" customFormat="1" x14ac:dyDescent="0.2"/>
    <row r="814" s="225" customFormat="1" x14ac:dyDescent="0.2"/>
    <row r="815" s="225" customFormat="1" x14ac:dyDescent="0.2"/>
    <row r="816" s="225" customFormat="1" x14ac:dyDescent="0.2"/>
    <row r="817" s="225" customFormat="1" x14ac:dyDescent="0.2"/>
    <row r="818" s="225" customFormat="1" x14ac:dyDescent="0.2"/>
    <row r="819" s="225" customFormat="1" x14ac:dyDescent="0.2"/>
    <row r="820" s="225" customFormat="1" x14ac:dyDescent="0.2"/>
    <row r="821" s="225" customFormat="1" x14ac:dyDescent="0.2"/>
    <row r="822" s="225" customFormat="1" x14ac:dyDescent="0.2"/>
    <row r="823" s="225" customFormat="1" x14ac:dyDescent="0.2"/>
    <row r="824" s="225" customFormat="1" x14ac:dyDescent="0.2"/>
    <row r="825" s="225" customFormat="1" x14ac:dyDescent="0.2"/>
    <row r="826" s="225" customFormat="1" x14ac:dyDescent="0.2"/>
    <row r="827" s="225" customFormat="1" x14ac:dyDescent="0.2"/>
    <row r="828" s="225" customFormat="1" x14ac:dyDescent="0.2"/>
    <row r="829" s="225" customFormat="1" x14ac:dyDescent="0.2"/>
    <row r="830" s="225" customFormat="1" x14ac:dyDescent="0.2"/>
    <row r="831" s="225" customFormat="1" x14ac:dyDescent="0.2"/>
    <row r="832" s="225" customFormat="1" x14ac:dyDescent="0.2"/>
    <row r="833" s="225" customFormat="1" x14ac:dyDescent="0.2"/>
    <row r="834" s="225" customFormat="1" x14ac:dyDescent="0.2"/>
    <row r="835" s="225" customFormat="1" x14ac:dyDescent="0.2"/>
    <row r="836" s="225" customFormat="1" x14ac:dyDescent="0.2"/>
    <row r="837" s="225" customFormat="1" x14ac:dyDescent="0.2"/>
    <row r="838" s="225" customFormat="1" x14ac:dyDescent="0.2"/>
    <row r="839" s="225" customFormat="1" x14ac:dyDescent="0.2"/>
    <row r="840" s="225" customFormat="1" x14ac:dyDescent="0.2"/>
    <row r="841" s="225" customFormat="1" x14ac:dyDescent="0.2"/>
    <row r="842" s="225" customFormat="1" x14ac:dyDescent="0.2"/>
    <row r="843" s="225" customFormat="1" x14ac:dyDescent="0.2"/>
    <row r="844" s="225" customFormat="1" x14ac:dyDescent="0.2"/>
    <row r="845" s="225" customFormat="1" x14ac:dyDescent="0.2"/>
    <row r="846" s="225" customFormat="1" x14ac:dyDescent="0.2"/>
    <row r="847" s="225" customFormat="1" x14ac:dyDescent="0.2"/>
    <row r="848" s="225" customFormat="1" x14ac:dyDescent="0.2"/>
    <row r="849" s="225" customFormat="1" x14ac:dyDescent="0.2"/>
    <row r="850" s="225" customFormat="1" x14ac:dyDescent="0.2"/>
    <row r="851" s="225" customFormat="1" x14ac:dyDescent="0.2"/>
    <row r="852" s="225" customFormat="1" x14ac:dyDescent="0.2"/>
    <row r="853" s="225" customFormat="1" x14ac:dyDescent="0.2"/>
    <row r="854" s="225" customFormat="1" x14ac:dyDescent="0.2"/>
    <row r="855" s="225" customFormat="1" x14ac:dyDescent="0.2"/>
    <row r="856" s="225" customFormat="1" x14ac:dyDescent="0.2"/>
    <row r="857" s="225" customFormat="1" x14ac:dyDescent="0.2"/>
    <row r="858" s="225" customFormat="1" x14ac:dyDescent="0.2"/>
    <row r="859" s="225" customFormat="1" x14ac:dyDescent="0.2"/>
    <row r="860" s="225" customFormat="1" x14ac:dyDescent="0.2"/>
    <row r="861" s="225" customFormat="1" x14ac:dyDescent="0.2"/>
    <row r="862" s="225" customFormat="1" x14ac:dyDescent="0.2"/>
    <row r="863" s="225" customFormat="1" x14ac:dyDescent="0.2"/>
    <row r="864" s="225" customFormat="1" x14ac:dyDescent="0.2"/>
    <row r="865" s="225" customFormat="1" x14ac:dyDescent="0.2"/>
    <row r="866" s="225" customFormat="1" x14ac:dyDescent="0.2"/>
    <row r="867" s="225" customFormat="1" x14ac:dyDescent="0.2"/>
    <row r="868" s="225" customFormat="1" x14ac:dyDescent="0.2"/>
    <row r="869" s="225" customFormat="1" x14ac:dyDescent="0.2"/>
    <row r="870" s="225" customFormat="1" x14ac:dyDescent="0.2"/>
    <row r="871" s="225" customFormat="1" x14ac:dyDescent="0.2"/>
    <row r="872" s="225" customFormat="1" x14ac:dyDescent="0.2"/>
    <row r="873" s="225" customFormat="1" x14ac:dyDescent="0.2"/>
    <row r="874" s="225" customFormat="1" x14ac:dyDescent="0.2"/>
    <row r="875" s="225" customFormat="1" x14ac:dyDescent="0.2"/>
    <row r="876" s="225" customFormat="1" x14ac:dyDescent="0.2"/>
    <row r="877" s="225" customFormat="1" x14ac:dyDescent="0.2"/>
    <row r="878" s="225" customFormat="1" x14ac:dyDescent="0.2"/>
    <row r="879" s="225" customFormat="1" x14ac:dyDescent="0.2"/>
    <row r="880" s="225" customFormat="1" x14ac:dyDescent="0.2"/>
    <row r="881" s="225" customFormat="1" x14ac:dyDescent="0.2"/>
    <row r="882" s="225" customFormat="1" x14ac:dyDescent="0.2"/>
    <row r="883" s="225" customFormat="1" x14ac:dyDescent="0.2"/>
    <row r="884" s="225" customFormat="1" x14ac:dyDescent="0.2"/>
    <row r="885" s="225" customFormat="1" x14ac:dyDescent="0.2"/>
    <row r="886" s="225" customFormat="1" x14ac:dyDescent="0.2"/>
    <row r="887" s="225" customFormat="1" x14ac:dyDescent="0.2"/>
    <row r="888" s="225" customFormat="1" x14ac:dyDescent="0.2"/>
    <row r="889" s="225" customFormat="1" x14ac:dyDescent="0.2"/>
    <row r="890" s="225" customFormat="1" x14ac:dyDescent="0.2"/>
    <row r="891" s="225" customFormat="1" x14ac:dyDescent="0.2"/>
    <row r="892" s="225" customFormat="1" x14ac:dyDescent="0.2"/>
    <row r="893" s="225" customFormat="1" x14ac:dyDescent="0.2"/>
    <row r="894" s="225" customFormat="1" x14ac:dyDescent="0.2"/>
    <row r="895" s="225" customFormat="1" x14ac:dyDescent="0.2"/>
    <row r="896" s="225" customFormat="1" x14ac:dyDescent="0.2"/>
    <row r="897" s="225" customFormat="1" x14ac:dyDescent="0.2"/>
    <row r="898" s="225" customFormat="1" x14ac:dyDescent="0.2"/>
    <row r="899" s="225" customFormat="1" x14ac:dyDescent="0.2"/>
    <row r="900" s="225" customFormat="1" x14ac:dyDescent="0.2"/>
    <row r="901" s="225" customFormat="1" x14ac:dyDescent="0.2"/>
    <row r="902" s="225" customFormat="1" x14ac:dyDescent="0.2"/>
    <row r="903" s="225" customFormat="1" x14ac:dyDescent="0.2"/>
    <row r="904" s="225" customFormat="1" x14ac:dyDescent="0.2"/>
    <row r="905" s="225" customFormat="1" x14ac:dyDescent="0.2"/>
    <row r="906" s="225" customFormat="1" x14ac:dyDescent="0.2"/>
    <row r="907" s="225" customFormat="1" x14ac:dyDescent="0.2"/>
    <row r="908" s="225" customFormat="1" x14ac:dyDescent="0.2"/>
    <row r="909" s="225" customFormat="1" x14ac:dyDescent="0.2"/>
    <row r="910" s="225" customFormat="1" x14ac:dyDescent="0.2"/>
    <row r="911" s="225" customFormat="1" x14ac:dyDescent="0.2"/>
    <row r="912" s="225" customFormat="1" x14ac:dyDescent="0.2"/>
    <row r="913" s="225" customFormat="1" x14ac:dyDescent="0.2"/>
    <row r="914" s="225" customFormat="1" x14ac:dyDescent="0.2"/>
    <row r="915" s="225" customFormat="1" x14ac:dyDescent="0.2"/>
    <row r="916" s="225" customFormat="1" x14ac:dyDescent="0.2"/>
    <row r="917" s="225" customFormat="1" x14ac:dyDescent="0.2"/>
    <row r="918" s="225" customFormat="1" x14ac:dyDescent="0.2"/>
    <row r="919" s="225" customFormat="1" x14ac:dyDescent="0.2"/>
    <row r="920" s="225" customFormat="1" x14ac:dyDescent="0.2"/>
    <row r="921" s="225" customFormat="1" x14ac:dyDescent="0.2"/>
    <row r="922" s="225" customFormat="1" x14ac:dyDescent="0.2"/>
    <row r="923" s="225" customFormat="1" x14ac:dyDescent="0.2"/>
    <row r="924" s="225" customFormat="1" x14ac:dyDescent="0.2"/>
    <row r="925" s="225" customFormat="1" x14ac:dyDescent="0.2"/>
    <row r="926" s="225" customFormat="1" x14ac:dyDescent="0.2"/>
    <row r="927" s="225" customFormat="1" x14ac:dyDescent="0.2"/>
    <row r="928" s="225" customFormat="1" x14ac:dyDescent="0.2"/>
    <row r="929" s="225" customFormat="1" x14ac:dyDescent="0.2"/>
    <row r="930" s="225" customFormat="1" x14ac:dyDescent="0.2"/>
    <row r="931" s="225" customFormat="1" x14ac:dyDescent="0.2"/>
    <row r="932" s="225" customFormat="1" x14ac:dyDescent="0.2"/>
    <row r="933" s="225" customFormat="1" x14ac:dyDescent="0.2"/>
    <row r="934" s="225" customFormat="1" x14ac:dyDescent="0.2"/>
    <row r="935" s="225" customFormat="1" x14ac:dyDescent="0.2"/>
    <row r="936" s="225" customFormat="1" x14ac:dyDescent="0.2"/>
    <row r="937" s="225" customFormat="1" x14ac:dyDescent="0.2"/>
    <row r="938" s="225" customFormat="1" x14ac:dyDescent="0.2"/>
    <row r="939" s="225" customFormat="1" x14ac:dyDescent="0.2"/>
    <row r="940" s="225" customFormat="1" x14ac:dyDescent="0.2"/>
    <row r="941" s="225" customFormat="1" x14ac:dyDescent="0.2"/>
    <row r="942" s="225" customFormat="1" x14ac:dyDescent="0.2"/>
    <row r="943" s="225" customFormat="1" x14ac:dyDescent="0.2"/>
    <row r="944" s="225" customFormat="1" x14ac:dyDescent="0.2"/>
    <row r="945" s="225" customFormat="1" x14ac:dyDescent="0.2"/>
    <row r="946" s="225" customFormat="1" x14ac:dyDescent="0.2"/>
    <row r="947" s="225" customFormat="1" x14ac:dyDescent="0.2"/>
    <row r="948" s="225" customFormat="1" x14ac:dyDescent="0.2"/>
    <row r="949" s="225" customFormat="1" x14ac:dyDescent="0.2"/>
    <row r="950" s="225" customFormat="1" x14ac:dyDescent="0.2"/>
    <row r="951" s="225" customFormat="1" x14ac:dyDescent="0.2"/>
    <row r="952" s="225" customFormat="1" x14ac:dyDescent="0.2"/>
    <row r="953" s="225" customFormat="1" x14ac:dyDescent="0.2"/>
    <row r="954" s="225" customFormat="1" x14ac:dyDescent="0.2"/>
    <row r="955" s="225" customFormat="1" x14ac:dyDescent="0.2"/>
    <row r="956" s="225" customFormat="1" x14ac:dyDescent="0.2"/>
    <row r="957" s="225" customFormat="1" x14ac:dyDescent="0.2"/>
    <row r="958" s="225" customFormat="1" x14ac:dyDescent="0.2"/>
    <row r="959" s="225" customFormat="1" x14ac:dyDescent="0.2"/>
    <row r="960" s="225" customFormat="1" x14ac:dyDescent="0.2"/>
    <row r="961" s="225" customFormat="1" x14ac:dyDescent="0.2"/>
    <row r="962" s="225" customFormat="1" x14ac:dyDescent="0.2"/>
    <row r="963" s="225" customFormat="1" x14ac:dyDescent="0.2"/>
    <row r="964" s="225" customFormat="1" x14ac:dyDescent="0.2"/>
    <row r="965" s="225" customFormat="1" x14ac:dyDescent="0.2"/>
    <row r="966" s="225" customFormat="1" x14ac:dyDescent="0.2"/>
    <row r="967" s="225" customFormat="1" x14ac:dyDescent="0.2"/>
    <row r="968" s="225" customFormat="1" x14ac:dyDescent="0.2"/>
    <row r="969" s="225" customFormat="1" x14ac:dyDescent="0.2"/>
    <row r="970" s="225" customFormat="1" x14ac:dyDescent="0.2"/>
    <row r="971" s="225" customFormat="1" x14ac:dyDescent="0.2"/>
    <row r="972" s="225" customFormat="1" x14ac:dyDescent="0.2"/>
    <row r="973" s="225" customFormat="1" x14ac:dyDescent="0.2"/>
    <row r="974" s="225" customFormat="1" x14ac:dyDescent="0.2"/>
    <row r="975" s="225" customFormat="1" x14ac:dyDescent="0.2"/>
    <row r="976" s="225" customFormat="1" x14ac:dyDescent="0.2"/>
    <row r="977" s="225" customFormat="1" x14ac:dyDescent="0.2"/>
    <row r="978" s="225" customFormat="1" x14ac:dyDescent="0.2"/>
    <row r="979" s="225" customFormat="1" x14ac:dyDescent="0.2"/>
    <row r="980" s="225" customFormat="1" x14ac:dyDescent="0.2"/>
    <row r="981" s="225" customFormat="1" x14ac:dyDescent="0.2"/>
    <row r="982" s="225" customFormat="1" x14ac:dyDescent="0.2"/>
    <row r="983" s="225" customFormat="1" x14ac:dyDescent="0.2"/>
    <row r="984" s="225" customFormat="1" x14ac:dyDescent="0.2"/>
    <row r="985" s="225" customFormat="1" x14ac:dyDescent="0.2"/>
    <row r="986" s="225" customFormat="1" x14ac:dyDescent="0.2"/>
    <row r="987" s="225" customFormat="1" x14ac:dyDescent="0.2"/>
    <row r="988" s="225" customFormat="1" x14ac:dyDescent="0.2"/>
    <row r="989" s="225" customFormat="1" x14ac:dyDescent="0.2"/>
    <row r="990" s="225" customFormat="1" x14ac:dyDescent="0.2"/>
    <row r="991" s="225" customFormat="1" x14ac:dyDescent="0.2"/>
    <row r="992" s="225" customFormat="1" x14ac:dyDescent="0.2"/>
    <row r="993" s="225" customFormat="1" x14ac:dyDescent="0.2"/>
    <row r="994" s="225" customFormat="1" x14ac:dyDescent="0.2"/>
    <row r="995" s="225" customFormat="1" x14ac:dyDescent="0.2"/>
    <row r="996" s="225" customFormat="1" x14ac:dyDescent="0.2"/>
    <row r="997" s="225" customFormat="1" x14ac:dyDescent="0.2"/>
    <row r="998" s="225" customFormat="1" x14ac:dyDescent="0.2"/>
    <row r="999" s="225" customFormat="1" x14ac:dyDescent="0.2"/>
    <row r="1000" s="225" customFormat="1" x14ac:dyDescent="0.2"/>
    <row r="1001" s="225" customFormat="1" x14ac:dyDescent="0.2"/>
    <row r="1002" s="225" customFormat="1" x14ac:dyDescent="0.2"/>
    <row r="1003" s="225" customFormat="1" x14ac:dyDescent="0.2"/>
    <row r="1004" s="225" customFormat="1" x14ac:dyDescent="0.2"/>
    <row r="1005" s="225" customFormat="1" x14ac:dyDescent="0.2"/>
    <row r="1006" s="225" customFormat="1" x14ac:dyDescent="0.2"/>
    <row r="1007" s="225" customFormat="1" x14ac:dyDescent="0.2"/>
    <row r="1008" s="225" customFormat="1" x14ac:dyDescent="0.2"/>
    <row r="1009" s="225" customFormat="1" x14ac:dyDescent="0.2"/>
    <row r="1010" s="225" customFormat="1" x14ac:dyDescent="0.2"/>
    <row r="1011" s="225" customFormat="1" x14ac:dyDescent="0.2"/>
    <row r="1012" s="225" customFormat="1" x14ac:dyDescent="0.2"/>
    <row r="1013" s="225" customFormat="1" x14ac:dyDescent="0.2"/>
    <row r="1014" s="225" customFormat="1" x14ac:dyDescent="0.2"/>
    <row r="1015" s="225" customFormat="1" x14ac:dyDescent="0.2"/>
    <row r="1016" s="225" customFormat="1" x14ac:dyDescent="0.2"/>
    <row r="1017" s="225" customFormat="1" x14ac:dyDescent="0.2"/>
    <row r="1018" s="225" customFormat="1" x14ac:dyDescent="0.2"/>
    <row r="1019" s="225" customFormat="1" x14ac:dyDescent="0.2"/>
    <row r="1020" s="225" customFormat="1" x14ac:dyDescent="0.2"/>
    <row r="1021" s="225" customFormat="1" x14ac:dyDescent="0.2"/>
    <row r="1022" s="225" customFormat="1" x14ac:dyDescent="0.2"/>
    <row r="1023" s="225" customFormat="1" x14ac:dyDescent="0.2"/>
    <row r="1024" s="225" customFormat="1" x14ac:dyDescent="0.2"/>
    <row r="1025" s="225" customFormat="1" x14ac:dyDescent="0.2"/>
    <row r="1026" s="225" customFormat="1" x14ac:dyDescent="0.2"/>
    <row r="1027" s="225" customFormat="1" x14ac:dyDescent="0.2"/>
    <row r="1028" s="225" customFormat="1" x14ac:dyDescent="0.2"/>
    <row r="1029" s="225" customFormat="1" x14ac:dyDescent="0.2"/>
    <row r="1030" s="225" customFormat="1" x14ac:dyDescent="0.2"/>
    <row r="1031" s="225" customFormat="1" x14ac:dyDescent="0.2"/>
    <row r="1032" s="225" customFormat="1" x14ac:dyDescent="0.2"/>
    <row r="1033" s="225" customFormat="1" x14ac:dyDescent="0.2"/>
    <row r="1034" s="225" customFormat="1" x14ac:dyDescent="0.2"/>
    <row r="1035" s="225" customFormat="1" x14ac:dyDescent="0.2"/>
    <row r="1036" s="225" customFormat="1" x14ac:dyDescent="0.2"/>
    <row r="1037" s="225" customFormat="1" x14ac:dyDescent="0.2"/>
    <row r="1038" s="225" customFormat="1" x14ac:dyDescent="0.2"/>
    <row r="1039" s="225" customFormat="1" x14ac:dyDescent="0.2"/>
    <row r="1040" s="225" customFormat="1" x14ac:dyDescent="0.2"/>
    <row r="1041" s="225" customFormat="1" x14ac:dyDescent="0.2"/>
    <row r="1042" s="225" customFormat="1" x14ac:dyDescent="0.2"/>
    <row r="1043" s="225" customFormat="1" x14ac:dyDescent="0.2"/>
    <row r="1044" s="225" customFormat="1" x14ac:dyDescent="0.2"/>
    <row r="1045" s="225" customFormat="1" x14ac:dyDescent="0.2"/>
    <row r="1046" s="225" customFormat="1" x14ac:dyDescent="0.2"/>
    <row r="1047" s="225" customFormat="1" x14ac:dyDescent="0.2"/>
    <row r="1048" s="225" customFormat="1" x14ac:dyDescent="0.2"/>
    <row r="1049" s="225" customFormat="1" x14ac:dyDescent="0.2"/>
    <row r="1050" s="225" customFormat="1" x14ac:dyDescent="0.2"/>
    <row r="1051" s="225" customFormat="1" x14ac:dyDescent="0.2"/>
    <row r="1052" s="225" customFormat="1" x14ac:dyDescent="0.2"/>
    <row r="1053" s="225" customFormat="1" x14ac:dyDescent="0.2"/>
    <row r="1054" s="225" customFormat="1" x14ac:dyDescent="0.2"/>
    <row r="1055" s="225" customFormat="1" x14ac:dyDescent="0.2"/>
    <row r="1056" s="225" customFormat="1" x14ac:dyDescent="0.2"/>
    <row r="1057" s="225" customFormat="1" x14ac:dyDescent="0.2"/>
    <row r="1058" s="225" customFormat="1" x14ac:dyDescent="0.2"/>
    <row r="1059" s="225" customFormat="1" x14ac:dyDescent="0.2"/>
    <row r="1060" s="225" customFormat="1" x14ac:dyDescent="0.2"/>
    <row r="1061" s="225" customFormat="1" x14ac:dyDescent="0.2"/>
    <row r="1062" s="225" customFormat="1" x14ac:dyDescent="0.2"/>
    <row r="1063" s="225" customFormat="1" x14ac:dyDescent="0.2"/>
    <row r="1064" s="225" customFormat="1" x14ac:dyDescent="0.2"/>
    <row r="1065" s="225" customFormat="1" x14ac:dyDescent="0.2"/>
    <row r="1066" s="225" customFormat="1" x14ac:dyDescent="0.2"/>
    <row r="1067" s="225" customFormat="1" x14ac:dyDescent="0.2"/>
    <row r="1068" s="225" customFormat="1" x14ac:dyDescent="0.2"/>
    <row r="1069" s="225" customFormat="1" x14ac:dyDescent="0.2"/>
    <row r="1070" s="225" customFormat="1" x14ac:dyDescent="0.2"/>
    <row r="1071" s="225" customFormat="1" x14ac:dyDescent="0.2"/>
    <row r="1072" s="225" customFormat="1" x14ac:dyDescent="0.2"/>
    <row r="1073" s="225" customFormat="1" x14ac:dyDescent="0.2"/>
    <row r="1074" s="225" customFormat="1" x14ac:dyDescent="0.2"/>
    <row r="1075" s="225" customFormat="1" x14ac:dyDescent="0.2"/>
    <row r="1076" s="225" customFormat="1" x14ac:dyDescent="0.2"/>
    <row r="1077" s="225" customFormat="1" x14ac:dyDescent="0.2"/>
    <row r="1078" s="225" customFormat="1" x14ac:dyDescent="0.2"/>
    <row r="1079" s="225" customFormat="1" x14ac:dyDescent="0.2"/>
    <row r="1080" s="225" customFormat="1" x14ac:dyDescent="0.2"/>
    <row r="1081" s="225" customFormat="1" x14ac:dyDescent="0.2"/>
    <row r="1082" s="225" customFormat="1" x14ac:dyDescent="0.2"/>
    <row r="1083" s="225" customFormat="1" x14ac:dyDescent="0.2"/>
    <row r="1084" s="225" customFormat="1" x14ac:dyDescent="0.2"/>
    <row r="1085" s="225" customFormat="1" x14ac:dyDescent="0.2"/>
    <row r="1086" s="225" customFormat="1" x14ac:dyDescent="0.2"/>
    <row r="1087" s="225" customFormat="1" x14ac:dyDescent="0.2"/>
    <row r="1088" s="225" customFormat="1" x14ac:dyDescent="0.2"/>
    <row r="1089" s="225" customFormat="1" x14ac:dyDescent="0.2"/>
    <row r="1090" s="225" customFormat="1" x14ac:dyDescent="0.2"/>
    <row r="1091" s="225" customFormat="1" x14ac:dyDescent="0.2"/>
    <row r="1092" s="225" customFormat="1" x14ac:dyDescent="0.2"/>
    <row r="1093" s="225" customFormat="1" x14ac:dyDescent="0.2"/>
    <row r="1094" s="225" customFormat="1" x14ac:dyDescent="0.2"/>
    <row r="1095" s="225" customFormat="1" x14ac:dyDescent="0.2"/>
    <row r="1096" s="225" customFormat="1" x14ac:dyDescent="0.2"/>
    <row r="1097" s="225" customFormat="1" x14ac:dyDescent="0.2"/>
    <row r="1098" s="225" customFormat="1" x14ac:dyDescent="0.2"/>
    <row r="1099" s="225" customFormat="1" x14ac:dyDescent="0.2"/>
    <row r="1100" s="225" customFormat="1" x14ac:dyDescent="0.2"/>
    <row r="1101" s="225" customFormat="1" x14ac:dyDescent="0.2"/>
    <row r="1102" s="225" customFormat="1" x14ac:dyDescent="0.2"/>
    <row r="1103" s="225" customFormat="1" x14ac:dyDescent="0.2"/>
    <row r="1104" s="225" customFormat="1" x14ac:dyDescent="0.2"/>
    <row r="1105" s="225" customFormat="1" x14ac:dyDescent="0.2"/>
    <row r="1106" s="225" customFormat="1" x14ac:dyDescent="0.2"/>
    <row r="1107" s="225" customFormat="1" x14ac:dyDescent="0.2"/>
    <row r="1108" s="225" customFormat="1" x14ac:dyDescent="0.2"/>
    <row r="1109" s="225" customFormat="1" x14ac:dyDescent="0.2"/>
    <row r="1110" s="225" customFormat="1" x14ac:dyDescent="0.2"/>
    <row r="1111" s="225" customFormat="1" x14ac:dyDescent="0.2"/>
    <row r="1112" s="225" customFormat="1" x14ac:dyDescent="0.2"/>
    <row r="1113" s="225" customFormat="1" x14ac:dyDescent="0.2"/>
    <row r="1114" s="225" customFormat="1" x14ac:dyDescent="0.2"/>
    <row r="1115" s="225" customFormat="1" x14ac:dyDescent="0.2"/>
    <row r="1116" s="225" customFormat="1" x14ac:dyDescent="0.2"/>
    <row r="1117" s="225" customFormat="1" x14ac:dyDescent="0.2"/>
    <row r="1118" s="225" customFormat="1" x14ac:dyDescent="0.2"/>
    <row r="1119" s="225" customFormat="1" x14ac:dyDescent="0.2"/>
    <row r="1120" s="225" customFormat="1" x14ac:dyDescent="0.2"/>
    <row r="1121" s="225" customFormat="1" x14ac:dyDescent="0.2"/>
    <row r="1122" s="225" customFormat="1" x14ac:dyDescent="0.2"/>
    <row r="1123" s="225" customFormat="1" x14ac:dyDescent="0.2"/>
    <row r="1124" s="225" customFormat="1" x14ac:dyDescent="0.2"/>
    <row r="1125" s="225" customFormat="1" x14ac:dyDescent="0.2"/>
    <row r="1126" s="225" customFormat="1" x14ac:dyDescent="0.2"/>
    <row r="1127" s="225" customFormat="1" x14ac:dyDescent="0.2"/>
    <row r="1128" s="225" customFormat="1" x14ac:dyDescent="0.2"/>
    <row r="1129" s="225" customFormat="1" x14ac:dyDescent="0.2"/>
    <row r="1130" s="225" customFormat="1" x14ac:dyDescent="0.2"/>
    <row r="1131" s="225" customFormat="1" x14ac:dyDescent="0.2"/>
    <row r="1132" s="225" customFormat="1" x14ac:dyDescent="0.2"/>
    <row r="1133" s="225" customFormat="1" x14ac:dyDescent="0.2"/>
    <row r="1134" s="225" customFormat="1" x14ac:dyDescent="0.2"/>
    <row r="1135" s="225" customFormat="1" x14ac:dyDescent="0.2"/>
    <row r="1136" s="225" customFormat="1" x14ac:dyDescent="0.2"/>
    <row r="1137" s="225" customFormat="1" x14ac:dyDescent="0.2"/>
    <row r="1138" s="225" customFormat="1" x14ac:dyDescent="0.2"/>
    <row r="1139" s="225" customFormat="1" x14ac:dyDescent="0.2"/>
    <row r="1140" s="225" customFormat="1" x14ac:dyDescent="0.2"/>
    <row r="1141" s="225" customFormat="1" x14ac:dyDescent="0.2"/>
    <row r="1142" s="225" customFormat="1" x14ac:dyDescent="0.2"/>
    <row r="1143" s="225" customFormat="1" x14ac:dyDescent="0.2"/>
    <row r="1144" s="225" customFormat="1" x14ac:dyDescent="0.2"/>
    <row r="1145" s="225" customFormat="1" x14ac:dyDescent="0.2"/>
    <row r="1146" s="225" customFormat="1" x14ac:dyDescent="0.2"/>
    <row r="1147" s="225" customFormat="1" x14ac:dyDescent="0.2"/>
    <row r="1148" s="225" customFormat="1" x14ac:dyDescent="0.2"/>
    <row r="1149" s="225" customFormat="1" x14ac:dyDescent="0.2"/>
    <row r="1150" s="225" customFormat="1" x14ac:dyDescent="0.2"/>
    <row r="1151" s="225" customFormat="1" x14ac:dyDescent="0.2"/>
    <row r="1152" s="225" customFormat="1" x14ac:dyDescent="0.2"/>
    <row r="1153" s="225" customFormat="1" x14ac:dyDescent="0.2"/>
    <row r="1154" s="225" customFormat="1" x14ac:dyDescent="0.2"/>
    <row r="1155" s="225" customFormat="1" x14ac:dyDescent="0.2"/>
    <row r="1156" s="225" customFormat="1" x14ac:dyDescent="0.2"/>
    <row r="1157" s="225" customFormat="1" x14ac:dyDescent="0.2"/>
    <row r="1158" s="225" customFormat="1" x14ac:dyDescent="0.2"/>
    <row r="1159" s="225" customFormat="1" x14ac:dyDescent="0.2"/>
    <row r="1160" s="225" customFormat="1" x14ac:dyDescent="0.2"/>
    <row r="1161" s="225" customFormat="1" x14ac:dyDescent="0.2"/>
    <row r="1162" s="225" customFormat="1" x14ac:dyDescent="0.2"/>
    <row r="1163" s="225" customFormat="1" x14ac:dyDescent="0.2"/>
    <row r="1164" s="225" customFormat="1" x14ac:dyDescent="0.2"/>
    <row r="1165" s="225" customFormat="1" x14ac:dyDescent="0.2"/>
    <row r="1166" s="225" customFormat="1" x14ac:dyDescent="0.2"/>
    <row r="1167" s="225" customFormat="1" x14ac:dyDescent="0.2"/>
    <row r="1168" s="225" customFormat="1" x14ac:dyDescent="0.2"/>
    <row r="1169" s="225" customFormat="1" x14ac:dyDescent="0.2"/>
    <row r="1170" s="225" customFormat="1" x14ac:dyDescent="0.2"/>
    <row r="1171" s="225" customFormat="1" x14ac:dyDescent="0.2"/>
    <row r="1172" s="225" customFormat="1" x14ac:dyDescent="0.2"/>
    <row r="1173" s="225" customFormat="1" x14ac:dyDescent="0.2"/>
    <row r="1174" s="225" customFormat="1" x14ac:dyDescent="0.2"/>
    <row r="1175" s="225" customFormat="1" x14ac:dyDescent="0.2"/>
    <row r="1176" s="225" customFormat="1" x14ac:dyDescent="0.2"/>
    <row r="1177" s="225" customFormat="1" x14ac:dyDescent="0.2"/>
    <row r="1178" s="225" customFormat="1" x14ac:dyDescent="0.2"/>
    <row r="1179" s="225" customFormat="1" x14ac:dyDescent="0.2"/>
    <row r="1180" s="225" customFormat="1" x14ac:dyDescent="0.2"/>
    <row r="1181" s="225" customFormat="1" x14ac:dyDescent="0.2"/>
    <row r="1182" s="225" customFormat="1" x14ac:dyDescent="0.2"/>
    <row r="1183" s="225" customFormat="1" x14ac:dyDescent="0.2"/>
    <row r="1184" s="225" customFormat="1" x14ac:dyDescent="0.2"/>
    <row r="1185" s="225" customFormat="1" x14ac:dyDescent="0.2"/>
    <row r="1186" s="225" customFormat="1" x14ac:dyDescent="0.2"/>
    <row r="1187" s="225" customFormat="1" x14ac:dyDescent="0.2"/>
    <row r="1188" s="225" customFormat="1" x14ac:dyDescent="0.2"/>
    <row r="1189" s="225" customFormat="1" x14ac:dyDescent="0.2"/>
    <row r="1190" s="225" customFormat="1" x14ac:dyDescent="0.2"/>
    <row r="1191" s="225" customFormat="1" x14ac:dyDescent="0.2"/>
    <row r="1192" s="225" customFormat="1" x14ac:dyDescent="0.2"/>
    <row r="1193" s="225" customFormat="1" x14ac:dyDescent="0.2"/>
    <row r="1194" s="225" customFormat="1" x14ac:dyDescent="0.2"/>
    <row r="1195" s="225" customFormat="1" x14ac:dyDescent="0.2"/>
    <row r="1196" s="225" customFormat="1" x14ac:dyDescent="0.2"/>
    <row r="1197" s="225" customFormat="1" x14ac:dyDescent="0.2"/>
    <row r="1198" s="225" customFormat="1" x14ac:dyDescent="0.2"/>
    <row r="1199" s="225" customFormat="1" x14ac:dyDescent="0.2"/>
    <row r="1200" s="225" customFormat="1" x14ac:dyDescent="0.2"/>
    <row r="1201" s="225" customFormat="1" x14ac:dyDescent="0.2"/>
    <row r="1202" s="225" customFormat="1" x14ac:dyDescent="0.2"/>
    <row r="1203" s="225" customFormat="1" x14ac:dyDescent="0.2"/>
    <row r="1204" s="225" customFormat="1" x14ac:dyDescent="0.2"/>
    <row r="1205" s="225" customFormat="1" x14ac:dyDescent="0.2"/>
    <row r="1206" s="225" customFormat="1" x14ac:dyDescent="0.2"/>
    <row r="1207" s="225" customFormat="1" x14ac:dyDescent="0.2"/>
    <row r="1208" s="225" customFormat="1" x14ac:dyDescent="0.2"/>
    <row r="1209" s="225" customFormat="1" x14ac:dyDescent="0.2"/>
    <row r="1210" s="225" customFormat="1" x14ac:dyDescent="0.2"/>
    <row r="1211" s="225" customFormat="1" x14ac:dyDescent="0.2"/>
    <row r="1212" s="225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&amp;LStatistiques mensuelles
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zoomScaleNormal="100" workbookViewId="0"/>
  </sheetViews>
  <sheetFormatPr baseColWidth="10" defaultRowHeight="15" x14ac:dyDescent="0.2"/>
  <cols>
    <col min="1" max="1" width="14.5703125" style="99" bestFit="1" customWidth="1"/>
    <col min="2" max="2" width="36.7109375" style="99" customWidth="1"/>
    <col min="3" max="4" width="18.7109375" style="99" customWidth="1"/>
    <col min="5" max="5" width="29.5703125" style="99" customWidth="1"/>
    <col min="6" max="6" width="18.7109375" style="99" customWidth="1"/>
    <col min="7" max="16384" width="11.42578125" style="99"/>
  </cols>
  <sheetData>
    <row r="1" spans="1:6" ht="18.75" x14ac:dyDescent="0.2">
      <c r="B1" s="61" t="s">
        <v>80</v>
      </c>
      <c r="C1" s="61"/>
      <c r="D1" s="61"/>
      <c r="E1" s="61"/>
    </row>
    <row r="2" spans="1:6" ht="18.75" x14ac:dyDescent="0.2">
      <c r="B2" s="61" t="s">
        <v>198</v>
      </c>
      <c r="C2" s="61"/>
      <c r="D2" s="61"/>
      <c r="E2" s="61"/>
    </row>
    <row r="5" spans="1:6" x14ac:dyDescent="0.2">
      <c r="A5" s="64" t="s">
        <v>129</v>
      </c>
      <c r="B5" s="65" t="s">
        <v>130</v>
      </c>
      <c r="C5" s="66"/>
      <c r="D5" s="66"/>
      <c r="E5" s="67"/>
      <c r="F5" s="67"/>
    </row>
    <row r="6" spans="1:6" x14ac:dyDescent="0.2">
      <c r="A6" s="68" t="s">
        <v>131</v>
      </c>
      <c r="B6" s="69" t="str">
        <f>couverture!D15</f>
        <v xml:space="preserve">1er juillet 2014 </v>
      </c>
      <c r="C6" s="70"/>
      <c r="D6" s="70"/>
      <c r="E6" s="71"/>
      <c r="F6" s="71"/>
    </row>
    <row r="7" spans="1:6" x14ac:dyDescent="0.2">
      <c r="A7" s="68" t="s">
        <v>132</v>
      </c>
      <c r="B7" s="69" t="s">
        <v>133</v>
      </c>
      <c r="C7" s="70"/>
      <c r="D7" s="70"/>
      <c r="E7" s="71"/>
      <c r="F7" s="71"/>
    </row>
    <row r="8" spans="1:6" x14ac:dyDescent="0.2">
      <c r="A8" s="72"/>
      <c r="B8" s="73"/>
      <c r="C8" s="73"/>
      <c r="D8" s="73"/>
      <c r="E8" s="74"/>
      <c r="F8" s="74"/>
    </row>
    <row r="11" spans="1:6" ht="25.5" x14ac:dyDescent="0.2">
      <c r="B11" s="29"/>
      <c r="C11" s="207" t="s">
        <v>184</v>
      </c>
      <c r="D11" s="207" t="s">
        <v>185</v>
      </c>
      <c r="E11" s="78" t="s">
        <v>134</v>
      </c>
      <c r="F11" s="207" t="s">
        <v>199</v>
      </c>
    </row>
    <row r="12" spans="1:6" x14ac:dyDescent="0.2">
      <c r="B12" s="158" t="s">
        <v>200</v>
      </c>
      <c r="C12" s="82">
        <v>5034</v>
      </c>
      <c r="D12" s="82">
        <v>146</v>
      </c>
      <c r="E12" s="82">
        <f t="shared" ref="E12:E20" si="0">SUM(C12:D12)</f>
        <v>5180</v>
      </c>
      <c r="F12" s="149">
        <f t="shared" ref="F12:F20" si="1">D12/E12*100</f>
        <v>2.8185328185328187</v>
      </c>
    </row>
    <row r="13" spans="1:6" x14ac:dyDescent="0.2">
      <c r="B13" s="159" t="s">
        <v>201</v>
      </c>
      <c r="C13" s="151">
        <v>4890</v>
      </c>
      <c r="D13" s="151">
        <v>177</v>
      </c>
      <c r="E13" s="151">
        <f t="shared" si="0"/>
        <v>5067</v>
      </c>
      <c r="F13" s="187">
        <f t="shared" si="1"/>
        <v>3.4931912374185905</v>
      </c>
    </row>
    <row r="14" spans="1:6" x14ac:dyDescent="0.2">
      <c r="B14" s="159" t="s">
        <v>202</v>
      </c>
      <c r="C14" s="151">
        <v>9169</v>
      </c>
      <c r="D14" s="151">
        <v>304</v>
      </c>
      <c r="E14" s="151">
        <f t="shared" si="0"/>
        <v>9473</v>
      </c>
      <c r="F14" s="187">
        <f t="shared" si="1"/>
        <v>3.20912065871424</v>
      </c>
    </row>
    <row r="15" spans="1:6" x14ac:dyDescent="0.2">
      <c r="B15" s="159" t="s">
        <v>203</v>
      </c>
      <c r="C15" s="151">
        <v>5678</v>
      </c>
      <c r="D15" s="151">
        <v>206</v>
      </c>
      <c r="E15" s="151">
        <f t="shared" si="0"/>
        <v>5884</v>
      </c>
      <c r="F15" s="187">
        <f t="shared" si="1"/>
        <v>3.5010197144799458</v>
      </c>
    </row>
    <row r="16" spans="1:6" x14ac:dyDescent="0.2">
      <c r="B16" s="159" t="s">
        <v>204</v>
      </c>
      <c r="C16" s="151">
        <v>7765</v>
      </c>
      <c r="D16" s="151">
        <v>155</v>
      </c>
      <c r="E16" s="151">
        <f t="shared" si="0"/>
        <v>7920</v>
      </c>
      <c r="F16" s="187">
        <f t="shared" si="1"/>
        <v>1.9570707070707072</v>
      </c>
    </row>
    <row r="17" spans="2:6" x14ac:dyDescent="0.2">
      <c r="B17" s="159" t="s">
        <v>205</v>
      </c>
      <c r="C17" s="151">
        <v>12588</v>
      </c>
      <c r="D17" s="151">
        <v>516</v>
      </c>
      <c r="E17" s="151">
        <f t="shared" si="0"/>
        <v>13104</v>
      </c>
      <c r="F17" s="187">
        <f t="shared" si="1"/>
        <v>3.9377289377289375</v>
      </c>
    </row>
    <row r="18" spans="2:6" x14ac:dyDescent="0.2">
      <c r="B18" s="159" t="s">
        <v>206</v>
      </c>
      <c r="C18" s="151">
        <v>5755</v>
      </c>
      <c r="D18" s="151">
        <v>335</v>
      </c>
      <c r="E18" s="151">
        <f t="shared" si="0"/>
        <v>6090</v>
      </c>
      <c r="F18" s="187">
        <f t="shared" si="1"/>
        <v>5.500821018062398</v>
      </c>
    </row>
    <row r="19" spans="2:6" x14ac:dyDescent="0.2">
      <c r="B19" s="159" t="s">
        <v>207</v>
      </c>
      <c r="C19" s="151">
        <v>5402</v>
      </c>
      <c r="D19" s="151">
        <v>160</v>
      </c>
      <c r="E19" s="151">
        <f t="shared" si="0"/>
        <v>5562</v>
      </c>
      <c r="F19" s="187">
        <f t="shared" si="1"/>
        <v>2.8766630708378282</v>
      </c>
    </row>
    <row r="20" spans="2:6" x14ac:dyDescent="0.2">
      <c r="B20" s="159" t="s">
        <v>208</v>
      </c>
      <c r="C20" s="151">
        <v>5255</v>
      </c>
      <c r="D20" s="151">
        <v>149</v>
      </c>
      <c r="E20" s="151">
        <f t="shared" si="0"/>
        <v>5404</v>
      </c>
      <c r="F20" s="187">
        <f t="shared" si="1"/>
        <v>2.7572168763878606</v>
      </c>
    </row>
    <row r="21" spans="2:6" x14ac:dyDescent="0.2">
      <c r="B21" s="159"/>
      <c r="C21" s="151"/>
      <c r="D21" s="151"/>
      <c r="E21" s="151"/>
      <c r="F21" s="187"/>
    </row>
    <row r="22" spans="2:6" x14ac:dyDescent="0.2">
      <c r="B22" s="160" t="s">
        <v>158</v>
      </c>
      <c r="C22" s="161">
        <f>SUM(C12:C20)</f>
        <v>61536</v>
      </c>
      <c r="D22" s="161">
        <f>SUM(D12:D20)</f>
        <v>2148</v>
      </c>
      <c r="E22" s="161">
        <f>SUM(E12:E20)</f>
        <v>63684</v>
      </c>
      <c r="F22" s="262">
        <f>D22/E22*100</f>
        <v>3.3729037120783874</v>
      </c>
    </row>
    <row r="23" spans="2:6" x14ac:dyDescent="0.2">
      <c r="B23" s="159"/>
      <c r="C23" s="151"/>
      <c r="D23" s="151"/>
      <c r="E23" s="151"/>
      <c r="F23" s="187"/>
    </row>
    <row r="24" spans="2:6" x14ac:dyDescent="0.2">
      <c r="B24" s="162" t="s">
        <v>137</v>
      </c>
      <c r="C24" s="151">
        <v>4477</v>
      </c>
      <c r="D24" s="151">
        <v>134</v>
      </c>
      <c r="E24" s="151">
        <f>SUM(C24:D24)</f>
        <v>4611</v>
      </c>
      <c r="F24" s="187">
        <f>D24/E24*100</f>
        <v>2.9060941227499457</v>
      </c>
    </row>
    <row r="25" spans="2:6" x14ac:dyDescent="0.2">
      <c r="B25" s="162"/>
      <c r="C25" s="151"/>
      <c r="D25" s="151"/>
      <c r="E25" s="151"/>
      <c r="F25" s="187"/>
    </row>
    <row r="26" spans="2:6" x14ac:dyDescent="0.2">
      <c r="B26" s="159"/>
      <c r="C26" s="163"/>
      <c r="D26" s="163"/>
      <c r="E26" s="163"/>
      <c r="F26" s="263"/>
    </row>
    <row r="27" spans="2:6" x14ac:dyDescent="0.2">
      <c r="B27" s="164" t="s">
        <v>138</v>
      </c>
      <c r="C27" s="93">
        <f>SUM(C22,C24:C25)</f>
        <v>66013</v>
      </c>
      <c r="D27" s="93">
        <f>SUM(D22,D24:D25)</f>
        <v>2282</v>
      </c>
      <c r="E27" s="93">
        <f>SUM(E22,E24:E25)</f>
        <v>68295</v>
      </c>
      <c r="F27" s="156">
        <f>D27/E27*100</f>
        <v>3.341386631525002</v>
      </c>
    </row>
    <row r="29" spans="2:6" x14ac:dyDescent="0.2">
      <c r="B29" s="165"/>
      <c r="C29" s="165"/>
      <c r="D29" s="165"/>
      <c r="E29" s="165"/>
      <c r="F29" s="165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&amp;LStatistiques mensuelles
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/>
  <dimension ref="A1:F15"/>
  <sheetViews>
    <sheetView zoomScaleNormal="100" workbookViewId="0"/>
  </sheetViews>
  <sheetFormatPr baseColWidth="10" defaultRowHeight="15" x14ac:dyDescent="0.2"/>
  <cols>
    <col min="1" max="1" width="12.42578125" style="99" bestFit="1" customWidth="1"/>
    <col min="2" max="2" width="25.7109375" style="99" customWidth="1"/>
    <col min="3" max="3" width="24" style="99" customWidth="1"/>
    <col min="4" max="4" width="28.7109375" style="99" customWidth="1"/>
    <col min="5" max="5" width="24.85546875" style="99" customWidth="1"/>
    <col min="6" max="6" width="16.7109375" style="99" customWidth="1"/>
    <col min="7" max="16384" width="11.42578125" style="99"/>
  </cols>
  <sheetData>
    <row r="1" spans="1:6" ht="18.75" x14ac:dyDescent="0.2">
      <c r="B1" s="61" t="s">
        <v>83</v>
      </c>
      <c r="C1" s="61"/>
      <c r="D1" s="61"/>
      <c r="E1" s="61"/>
    </row>
    <row r="2" spans="1:6" ht="18.75" x14ac:dyDescent="0.2">
      <c r="B2" s="61" t="s">
        <v>84</v>
      </c>
      <c r="C2" s="61"/>
      <c r="D2" s="61"/>
      <c r="E2" s="61"/>
    </row>
    <row r="3" spans="1:6" ht="15" customHeight="1" x14ac:dyDescent="0.2">
      <c r="B3" s="264"/>
    </row>
    <row r="4" spans="1:6" ht="15" customHeight="1" x14ac:dyDescent="0.2"/>
    <row r="5" spans="1:6" x14ac:dyDescent="0.2">
      <c r="A5" s="64" t="s">
        <v>129</v>
      </c>
      <c r="B5" s="65" t="s">
        <v>130</v>
      </c>
      <c r="C5" s="66"/>
      <c r="D5" s="66"/>
      <c r="E5" s="66"/>
      <c r="F5" s="101"/>
    </row>
    <row r="6" spans="1:6" x14ac:dyDescent="0.2">
      <c r="A6" s="64" t="s">
        <v>131</v>
      </c>
      <c r="B6" s="69" t="str">
        <f>couverture!D15</f>
        <v xml:space="preserve">1er juillet 2014 </v>
      </c>
      <c r="C6" s="70"/>
      <c r="D6" s="70"/>
      <c r="E6" s="70"/>
      <c r="F6" s="101"/>
    </row>
    <row r="7" spans="1:6" x14ac:dyDescent="0.2">
      <c r="A7" s="68" t="s">
        <v>132</v>
      </c>
      <c r="B7" s="69" t="s">
        <v>133</v>
      </c>
      <c r="C7" s="70"/>
      <c r="D7" s="70"/>
      <c r="E7" s="70"/>
      <c r="F7" s="101"/>
    </row>
    <row r="8" spans="1:6" ht="15" customHeight="1" x14ac:dyDescent="0.2">
      <c r="F8" s="181"/>
    </row>
    <row r="9" spans="1:6" ht="15" customHeight="1" x14ac:dyDescent="0.2"/>
    <row r="10" spans="1:6" s="29" customFormat="1" ht="53.25" customHeight="1" x14ac:dyDescent="0.2">
      <c r="B10" s="99"/>
      <c r="C10" s="105" t="s">
        <v>209</v>
      </c>
      <c r="D10" s="78" t="s">
        <v>134</v>
      </c>
      <c r="E10" s="105" t="s">
        <v>210</v>
      </c>
    </row>
    <row r="11" spans="1:6" s="29" customFormat="1" ht="21" customHeight="1" x14ac:dyDescent="0.2">
      <c r="B11" s="265" t="s">
        <v>136</v>
      </c>
      <c r="C11" s="226">
        <v>734</v>
      </c>
      <c r="D11" s="226">
        <v>63684</v>
      </c>
      <c r="E11" s="187">
        <f>C11/D11*100</f>
        <v>1.1525657936059293</v>
      </c>
    </row>
    <row r="12" spans="1:6" s="29" customFormat="1" ht="21" customHeight="1" x14ac:dyDescent="0.2">
      <c r="B12" s="266" t="s">
        <v>137</v>
      </c>
      <c r="C12" s="226">
        <v>60</v>
      </c>
      <c r="D12" s="226">
        <v>4611</v>
      </c>
      <c r="E12" s="187">
        <f>C12/D12*100</f>
        <v>1.3012361743656473</v>
      </c>
    </row>
    <row r="13" spans="1:6" s="29" customFormat="1" ht="21" customHeight="1" x14ac:dyDescent="0.2">
      <c r="B13" s="266"/>
      <c r="C13" s="226"/>
      <c r="D13" s="226"/>
      <c r="E13" s="187"/>
    </row>
    <row r="14" spans="1:6" s="29" customFormat="1" ht="21" customHeight="1" x14ac:dyDescent="0.2">
      <c r="B14" s="266"/>
      <c r="C14" s="226"/>
      <c r="D14" s="226"/>
      <c r="E14" s="187"/>
    </row>
    <row r="15" spans="1:6" s="29" customFormat="1" ht="21" customHeight="1" x14ac:dyDescent="0.2">
      <c r="B15" s="267" t="s">
        <v>143</v>
      </c>
      <c r="C15" s="268">
        <f>SUM(C11:C13)</f>
        <v>794</v>
      </c>
      <c r="D15" s="268">
        <f>SUM(D11:D13)</f>
        <v>68295</v>
      </c>
      <c r="E15" s="156">
        <f>C15/D15*100</f>
        <v>1.1626034116699613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/>
  <dimension ref="A1:H16"/>
  <sheetViews>
    <sheetView zoomScaleNormal="100" workbookViewId="0"/>
  </sheetViews>
  <sheetFormatPr baseColWidth="10" defaultRowHeight="12.75" x14ac:dyDescent="0.2"/>
  <cols>
    <col min="1" max="1" width="12.42578125" style="29" bestFit="1" customWidth="1"/>
    <col min="2" max="8" width="14.7109375" style="29" customWidth="1"/>
    <col min="9" max="16384" width="11.42578125" style="29"/>
  </cols>
  <sheetData>
    <row r="1" spans="1:8" ht="16.5" customHeight="1" x14ac:dyDescent="0.2">
      <c r="A1" s="99"/>
      <c r="B1" s="61" t="s">
        <v>86</v>
      </c>
      <c r="C1" s="61"/>
      <c r="D1" s="61"/>
      <c r="E1" s="61"/>
      <c r="F1" s="61"/>
      <c r="G1" s="99"/>
      <c r="H1" s="99"/>
    </row>
    <row r="2" spans="1:8" ht="16.5" customHeight="1" x14ac:dyDescent="0.2">
      <c r="A2" s="99"/>
      <c r="B2" s="61" t="s">
        <v>87</v>
      </c>
      <c r="C2" s="61"/>
      <c r="D2" s="61"/>
      <c r="E2" s="61"/>
      <c r="F2" s="61"/>
      <c r="G2" s="99"/>
      <c r="H2" s="99"/>
    </row>
    <row r="3" spans="1:8" ht="15" x14ac:dyDescent="0.2">
      <c r="A3" s="99"/>
      <c r="B3" s="264"/>
      <c r="C3" s="99"/>
      <c r="D3" s="99"/>
      <c r="E3" s="99"/>
      <c r="F3" s="99"/>
      <c r="G3" s="99"/>
      <c r="H3" s="99"/>
    </row>
    <row r="4" spans="1:8" ht="15" x14ac:dyDescent="0.2">
      <c r="A4" s="99"/>
      <c r="B4" s="99"/>
      <c r="C4" s="99"/>
      <c r="D4" s="99"/>
      <c r="E4" s="99"/>
      <c r="F4" s="99"/>
      <c r="G4" s="99"/>
      <c r="H4" s="99"/>
    </row>
    <row r="5" spans="1:8" ht="16.5" customHeight="1" x14ac:dyDescent="0.2">
      <c r="A5" s="64" t="s">
        <v>129</v>
      </c>
      <c r="B5" s="65" t="s">
        <v>130</v>
      </c>
      <c r="C5" s="66"/>
      <c r="D5" s="66"/>
      <c r="E5" s="66"/>
      <c r="F5" s="66"/>
      <c r="G5" s="67"/>
      <c r="H5" s="67"/>
    </row>
    <row r="6" spans="1:8" ht="16.5" customHeight="1" x14ac:dyDescent="0.2">
      <c r="A6" s="64" t="s">
        <v>131</v>
      </c>
      <c r="B6" s="69" t="str">
        <f>couverture!D15</f>
        <v xml:space="preserve">1er juillet 2014 </v>
      </c>
      <c r="C6" s="70"/>
      <c r="D6" s="70"/>
      <c r="E6" s="70"/>
      <c r="F6" s="70"/>
      <c r="G6" s="71"/>
      <c r="H6" s="71"/>
    </row>
    <row r="7" spans="1:8" ht="16.5" customHeight="1" x14ac:dyDescent="0.2">
      <c r="A7" s="68" t="s">
        <v>132</v>
      </c>
      <c r="B7" s="69" t="s">
        <v>133</v>
      </c>
      <c r="C7" s="70"/>
      <c r="D7" s="70"/>
      <c r="E7" s="70"/>
      <c r="F7" s="70"/>
      <c r="G7" s="71"/>
      <c r="H7" s="71"/>
    </row>
    <row r="8" spans="1:8" ht="15" x14ac:dyDescent="0.2">
      <c r="A8" s="99"/>
      <c r="B8" s="99"/>
      <c r="C8" s="99"/>
      <c r="D8" s="99"/>
      <c r="E8" s="99"/>
      <c r="F8" s="181"/>
      <c r="G8" s="99"/>
      <c r="H8" s="99"/>
    </row>
    <row r="9" spans="1:8" ht="15" x14ac:dyDescent="0.2">
      <c r="A9" s="99"/>
      <c r="B9" s="99"/>
      <c r="C9" s="99"/>
      <c r="D9" s="99"/>
      <c r="E9" s="99"/>
      <c r="F9" s="99"/>
      <c r="G9" s="99"/>
      <c r="H9" s="99"/>
    </row>
    <row r="10" spans="1:8" ht="16.5" customHeight="1" x14ac:dyDescent="0.2">
      <c r="A10" s="99"/>
      <c r="B10" s="99"/>
      <c r="C10" s="483" t="s">
        <v>136</v>
      </c>
      <c r="D10" s="484"/>
      <c r="E10" s="483" t="s">
        <v>182</v>
      </c>
      <c r="F10" s="484"/>
      <c r="G10" s="483" t="s">
        <v>143</v>
      </c>
      <c r="H10" s="484"/>
    </row>
    <row r="11" spans="1:8" ht="16.5" customHeight="1" x14ac:dyDescent="0.2">
      <c r="A11" s="99"/>
      <c r="B11" s="99"/>
      <c r="C11" s="269" t="s">
        <v>211</v>
      </c>
      <c r="D11" s="269" t="s">
        <v>212</v>
      </c>
      <c r="E11" s="269" t="s">
        <v>211</v>
      </c>
      <c r="F11" s="269" t="s">
        <v>212</v>
      </c>
      <c r="G11" s="269" t="s">
        <v>211</v>
      </c>
      <c r="H11" s="269" t="s">
        <v>212</v>
      </c>
    </row>
    <row r="12" spans="1:8" ht="16.5" customHeight="1" x14ac:dyDescent="0.2">
      <c r="A12" s="99"/>
      <c r="B12" s="265"/>
      <c r="C12" s="270"/>
      <c r="D12" s="270"/>
      <c r="E12" s="270"/>
      <c r="F12" s="270"/>
      <c r="G12" s="270"/>
      <c r="H12" s="270"/>
    </row>
    <row r="13" spans="1:8" ht="16.5" customHeight="1" x14ac:dyDescent="0.2">
      <c r="A13" s="99"/>
      <c r="B13" s="266" t="s">
        <v>141</v>
      </c>
      <c r="C13" s="226">
        <v>469</v>
      </c>
      <c r="D13" s="187">
        <f>C13/$C$16*100</f>
        <v>63.896457765667577</v>
      </c>
      <c r="E13" s="226">
        <v>34</v>
      </c>
      <c r="F13" s="187">
        <f>E13/$E$16*100</f>
        <v>56.666666666666664</v>
      </c>
      <c r="G13" s="226">
        <f>C13+E13</f>
        <v>503</v>
      </c>
      <c r="H13" s="187">
        <f>G13/$G$16*100</f>
        <v>63.350125944584377</v>
      </c>
    </row>
    <row r="14" spans="1:8" ht="16.5" customHeight="1" x14ac:dyDescent="0.2">
      <c r="A14" s="99"/>
      <c r="B14" s="266" t="s">
        <v>142</v>
      </c>
      <c r="C14" s="226">
        <v>265</v>
      </c>
      <c r="D14" s="187">
        <f>C14/$C$16*100</f>
        <v>36.103542234332423</v>
      </c>
      <c r="E14" s="226">
        <v>26</v>
      </c>
      <c r="F14" s="187">
        <f>E14/$E$16*100</f>
        <v>43.333333333333336</v>
      </c>
      <c r="G14" s="226">
        <f>C14+E14</f>
        <v>291</v>
      </c>
      <c r="H14" s="187">
        <f>G14/$G$16*100</f>
        <v>36.649874055415616</v>
      </c>
    </row>
    <row r="15" spans="1:8" ht="16.5" customHeight="1" x14ac:dyDescent="0.2">
      <c r="A15" s="99"/>
      <c r="B15" s="266"/>
      <c r="C15" s="226"/>
      <c r="D15" s="187"/>
      <c r="E15" s="226"/>
      <c r="F15" s="187"/>
      <c r="G15" s="226"/>
      <c r="H15" s="187"/>
    </row>
    <row r="16" spans="1:8" ht="16.5" customHeight="1" x14ac:dyDescent="0.2">
      <c r="A16" s="99"/>
      <c r="B16" s="267" t="s">
        <v>143</v>
      </c>
      <c r="C16" s="268">
        <f t="shared" ref="C16:H16" si="0">SUM(C13:C14)</f>
        <v>734</v>
      </c>
      <c r="D16" s="156">
        <f t="shared" si="0"/>
        <v>100</v>
      </c>
      <c r="E16" s="268">
        <f t="shared" si="0"/>
        <v>60</v>
      </c>
      <c r="F16" s="156">
        <f t="shared" si="0"/>
        <v>100</v>
      </c>
      <c r="G16" s="268">
        <f t="shared" si="0"/>
        <v>794</v>
      </c>
      <c r="H16" s="156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zoomScaleNormal="100" workbookViewId="0">
      <selection activeCell="H23" sqref="H23"/>
    </sheetView>
  </sheetViews>
  <sheetFormatPr baseColWidth="10" defaultRowHeight="15" x14ac:dyDescent="0.2"/>
  <cols>
    <col min="1" max="1" width="12.42578125" style="99" bestFit="1" customWidth="1"/>
    <col min="2" max="2" width="16.7109375" style="99" customWidth="1"/>
    <col min="3" max="6" width="20.7109375" style="99" customWidth="1"/>
    <col min="7" max="16384" width="11.42578125" style="99"/>
  </cols>
  <sheetData>
    <row r="1" spans="1:6" ht="18.75" x14ac:dyDescent="0.2">
      <c r="B1" s="61" t="s">
        <v>89</v>
      </c>
      <c r="C1" s="61"/>
      <c r="D1" s="61"/>
      <c r="E1" s="61"/>
    </row>
    <row r="2" spans="1:6" ht="18.75" x14ac:dyDescent="0.2">
      <c r="B2" s="61" t="s">
        <v>213</v>
      </c>
      <c r="C2" s="61"/>
      <c r="D2" s="61"/>
      <c r="E2" s="61"/>
    </row>
    <row r="3" spans="1:6" ht="9" customHeight="1" x14ac:dyDescent="0.2">
      <c r="B3" s="264"/>
    </row>
    <row r="4" spans="1:6" s="29" customFormat="1" ht="13.5" x14ac:dyDescent="0.2">
      <c r="A4" s="128" t="s">
        <v>129</v>
      </c>
      <c r="B4" s="129" t="s">
        <v>130</v>
      </c>
      <c r="C4" s="130"/>
      <c r="D4" s="130"/>
      <c r="E4" s="130"/>
      <c r="F4" s="130"/>
    </row>
    <row r="5" spans="1:6" s="29" customFormat="1" ht="13.5" x14ac:dyDescent="0.2">
      <c r="A5" s="128" t="s">
        <v>131</v>
      </c>
      <c r="B5" s="132" t="str">
        <f>'tab28 mineurs.cat.pén'!B6</f>
        <v xml:space="preserve">1er juillet 2014 </v>
      </c>
      <c r="C5" s="133"/>
      <c r="D5" s="133"/>
      <c r="E5" s="133"/>
      <c r="F5" s="133"/>
    </row>
    <row r="6" spans="1:6" s="29" customFormat="1" ht="13.5" x14ac:dyDescent="0.2">
      <c r="A6" s="131" t="s">
        <v>132</v>
      </c>
      <c r="B6" s="132" t="s">
        <v>133</v>
      </c>
      <c r="C6" s="133"/>
      <c r="D6" s="133"/>
      <c r="E6" s="133"/>
      <c r="F6" s="133"/>
    </row>
    <row r="7" spans="1:6" ht="9" customHeight="1" x14ac:dyDescent="0.2">
      <c r="F7" s="181"/>
    </row>
    <row r="8" spans="1:6" s="29" customFormat="1" ht="25.5" x14ac:dyDescent="0.2">
      <c r="B8" s="78" t="s">
        <v>140</v>
      </c>
      <c r="C8" s="78" t="s">
        <v>141</v>
      </c>
      <c r="D8" s="78" t="s">
        <v>142</v>
      </c>
      <c r="E8" s="78" t="s">
        <v>143</v>
      </c>
      <c r="F8" s="78" t="s">
        <v>144</v>
      </c>
    </row>
    <row r="9" spans="1:6" x14ac:dyDescent="0.2">
      <c r="B9" s="271" t="s">
        <v>502</v>
      </c>
      <c r="C9" s="272">
        <v>493</v>
      </c>
      <c r="D9" s="272">
        <v>317</v>
      </c>
      <c r="E9" s="272">
        <v>810</v>
      </c>
      <c r="F9" s="273">
        <v>5.1948051948051965E-2</v>
      </c>
    </row>
    <row r="10" spans="1:6" x14ac:dyDescent="0.2">
      <c r="B10" s="274" t="s">
        <v>503</v>
      </c>
      <c r="C10" s="275">
        <v>436</v>
      </c>
      <c r="D10" s="275">
        <v>319</v>
      </c>
      <c r="E10" s="275">
        <v>755</v>
      </c>
      <c r="F10" s="273">
        <v>-6.7901234567901203E-2</v>
      </c>
    </row>
    <row r="11" spans="1:6" x14ac:dyDescent="0.2">
      <c r="B11" s="274" t="s">
        <v>504</v>
      </c>
      <c r="C11" s="275">
        <v>395</v>
      </c>
      <c r="D11" s="275">
        <v>285</v>
      </c>
      <c r="E11" s="275">
        <v>680</v>
      </c>
      <c r="F11" s="273">
        <v>-9.9337748344370813E-2</v>
      </c>
    </row>
    <row r="12" spans="1:6" x14ac:dyDescent="0.2">
      <c r="B12" s="274" t="s">
        <v>505</v>
      </c>
      <c r="C12" s="275">
        <v>422</v>
      </c>
      <c r="D12" s="275">
        <v>245</v>
      </c>
      <c r="E12" s="275">
        <v>667</v>
      </c>
      <c r="F12" s="273">
        <v>-1.9117647058823573E-2</v>
      </c>
    </row>
    <row r="13" spans="1:6" x14ac:dyDescent="0.2">
      <c r="B13" s="274" t="s">
        <v>506</v>
      </c>
      <c r="C13" s="275">
        <v>431</v>
      </c>
      <c r="D13" s="275">
        <v>250</v>
      </c>
      <c r="E13" s="275">
        <v>681</v>
      </c>
      <c r="F13" s="273">
        <v>2.0989505247376306E-2</v>
      </c>
    </row>
    <row r="14" spans="1:6" x14ac:dyDescent="0.2">
      <c r="B14" s="274" t="s">
        <v>507</v>
      </c>
      <c r="C14" s="275">
        <v>450</v>
      </c>
      <c r="D14" s="275">
        <v>273</v>
      </c>
      <c r="E14" s="275">
        <v>723</v>
      </c>
      <c r="F14" s="273">
        <v>6.1674008810572722E-2</v>
      </c>
    </row>
    <row r="15" spans="1:6" x14ac:dyDescent="0.2">
      <c r="B15" s="274" t="s">
        <v>508</v>
      </c>
      <c r="C15" s="275">
        <v>439</v>
      </c>
      <c r="D15" s="275">
        <v>285</v>
      </c>
      <c r="E15" s="275">
        <v>724</v>
      </c>
      <c r="F15" s="273">
        <v>1.3831258644536604E-3</v>
      </c>
    </row>
    <row r="16" spans="1:6" x14ac:dyDescent="0.2">
      <c r="B16" s="274" t="s">
        <v>509</v>
      </c>
      <c r="C16" s="275">
        <v>476</v>
      </c>
      <c r="D16" s="275">
        <v>245</v>
      </c>
      <c r="E16" s="275">
        <v>721</v>
      </c>
      <c r="F16" s="273">
        <v>-4.1436464088397962E-3</v>
      </c>
    </row>
    <row r="17" spans="2:6" x14ac:dyDescent="0.2">
      <c r="B17" s="274" t="s">
        <v>510</v>
      </c>
      <c r="C17" s="275">
        <v>486</v>
      </c>
      <c r="D17" s="275">
        <v>243</v>
      </c>
      <c r="E17" s="275">
        <v>729</v>
      </c>
      <c r="F17" s="273">
        <v>1.1095700416088761E-2</v>
      </c>
    </row>
    <row r="18" spans="2:6" x14ac:dyDescent="0.2">
      <c r="B18" s="274" t="s">
        <v>511</v>
      </c>
      <c r="C18" s="275">
        <v>493</v>
      </c>
      <c r="D18" s="275">
        <v>249</v>
      </c>
      <c r="E18" s="275">
        <v>742</v>
      </c>
      <c r="F18" s="273">
        <v>1.7832647462277196E-2</v>
      </c>
    </row>
    <row r="19" spans="2:6" x14ac:dyDescent="0.2">
      <c r="B19" s="274" t="s">
        <v>512</v>
      </c>
      <c r="C19" s="275">
        <v>477</v>
      </c>
      <c r="D19" s="275">
        <v>294</v>
      </c>
      <c r="E19" s="275">
        <v>771</v>
      </c>
      <c r="F19" s="273">
        <v>3.908355795148255E-2</v>
      </c>
    </row>
    <row r="20" spans="2:6" x14ac:dyDescent="0.2">
      <c r="B20" s="274" t="s">
        <v>513</v>
      </c>
      <c r="C20" s="275">
        <v>506</v>
      </c>
      <c r="D20" s="275">
        <v>272</v>
      </c>
      <c r="E20" s="275">
        <v>778</v>
      </c>
      <c r="F20" s="273">
        <v>9.0791180285343387E-3</v>
      </c>
    </row>
    <row r="21" spans="2:6" x14ac:dyDescent="0.2">
      <c r="B21" s="274" t="s">
        <v>514</v>
      </c>
      <c r="C21" s="275">
        <v>509</v>
      </c>
      <c r="D21" s="275">
        <v>290</v>
      </c>
      <c r="E21" s="275">
        <v>799</v>
      </c>
      <c r="F21" s="273">
        <v>2.6992287917737778E-2</v>
      </c>
    </row>
    <row r="22" spans="2:6" x14ac:dyDescent="0.2">
      <c r="B22" s="274" t="s">
        <v>515</v>
      </c>
      <c r="C22" s="275">
        <v>494</v>
      </c>
      <c r="D22" s="275">
        <v>287</v>
      </c>
      <c r="E22" s="275">
        <v>781</v>
      </c>
      <c r="F22" s="273">
        <v>-2.252816020025028E-2</v>
      </c>
    </row>
    <row r="23" spans="2:6" x14ac:dyDescent="0.2">
      <c r="B23" s="274" t="s">
        <v>516</v>
      </c>
      <c r="C23" s="275">
        <v>444</v>
      </c>
      <c r="D23" s="275">
        <v>271</v>
      </c>
      <c r="E23" s="275">
        <v>715</v>
      </c>
      <c r="F23" s="273">
        <v>-8.4507042253521125E-2</v>
      </c>
    </row>
    <row r="24" spans="2:6" x14ac:dyDescent="0.2">
      <c r="B24" s="274" t="s">
        <v>517</v>
      </c>
      <c r="C24" s="275">
        <v>435</v>
      </c>
      <c r="D24" s="275">
        <v>261</v>
      </c>
      <c r="E24" s="275">
        <v>696</v>
      </c>
      <c r="F24" s="273">
        <v>-2.657342657342654E-2</v>
      </c>
    </row>
    <row r="25" spans="2:6" x14ac:dyDescent="0.2">
      <c r="B25" s="274" t="s">
        <v>518</v>
      </c>
      <c r="C25" s="275">
        <v>486</v>
      </c>
      <c r="D25" s="275">
        <v>237</v>
      </c>
      <c r="E25" s="275">
        <v>723</v>
      </c>
      <c r="F25" s="273">
        <v>3.8793103448275801E-2</v>
      </c>
    </row>
    <row r="26" spans="2:6" x14ac:dyDescent="0.2">
      <c r="B26" s="274" t="s">
        <v>519</v>
      </c>
      <c r="C26" s="275">
        <v>477</v>
      </c>
      <c r="D26" s="275">
        <v>260</v>
      </c>
      <c r="E26" s="275">
        <v>737</v>
      </c>
      <c r="F26" s="273">
        <v>1.9363762102351245E-2</v>
      </c>
    </row>
    <row r="27" spans="2:6" x14ac:dyDescent="0.2">
      <c r="B27" s="274" t="s">
        <v>520</v>
      </c>
      <c r="C27" s="275">
        <v>455</v>
      </c>
      <c r="D27" s="275">
        <v>276</v>
      </c>
      <c r="E27" s="275">
        <v>731</v>
      </c>
      <c r="F27" s="273">
        <v>-8.141112618724522E-3</v>
      </c>
    </row>
    <row r="28" spans="2:6" x14ac:dyDescent="0.2">
      <c r="B28" s="274" t="s">
        <v>521</v>
      </c>
      <c r="C28" s="275">
        <v>476</v>
      </c>
      <c r="D28" s="275">
        <v>261</v>
      </c>
      <c r="E28" s="275">
        <v>737</v>
      </c>
      <c r="F28" s="273">
        <v>8.2079343365253354E-3</v>
      </c>
    </row>
    <row r="29" spans="2:6" x14ac:dyDescent="0.2">
      <c r="B29" s="274" t="s">
        <v>522</v>
      </c>
      <c r="C29" s="275">
        <v>477</v>
      </c>
      <c r="D29" s="275">
        <v>271</v>
      </c>
      <c r="E29" s="275">
        <v>748</v>
      </c>
      <c r="F29" s="273">
        <v>1.4925373134328401E-2</v>
      </c>
    </row>
    <row r="30" spans="2:6" x14ac:dyDescent="0.2">
      <c r="B30" s="274" t="s">
        <v>523</v>
      </c>
      <c r="C30" s="275">
        <v>512</v>
      </c>
      <c r="D30" s="275">
        <v>266</v>
      </c>
      <c r="E30" s="275">
        <v>778</v>
      </c>
      <c r="F30" s="273">
        <v>4.0106951871657692E-2</v>
      </c>
    </row>
    <row r="31" spans="2:6" x14ac:dyDescent="0.2">
      <c r="B31" s="274" t="s">
        <v>524</v>
      </c>
      <c r="C31" s="275">
        <v>510</v>
      </c>
      <c r="D31" s="275">
        <v>307</v>
      </c>
      <c r="E31" s="275">
        <v>817</v>
      </c>
      <c r="F31" s="273">
        <v>5.0128534704370287E-2</v>
      </c>
    </row>
    <row r="32" spans="2:6" x14ac:dyDescent="0.2">
      <c r="B32" s="274" t="s">
        <v>525</v>
      </c>
      <c r="C32" s="275">
        <v>523</v>
      </c>
      <c r="D32" s="275">
        <v>286</v>
      </c>
      <c r="E32" s="275">
        <v>809</v>
      </c>
      <c r="F32" s="273">
        <v>-9.7919216646267238E-3</v>
      </c>
    </row>
    <row r="33" spans="2:7" x14ac:dyDescent="0.2">
      <c r="B33" s="276" t="s">
        <v>526</v>
      </c>
      <c r="C33" s="277">
        <v>503</v>
      </c>
      <c r="D33" s="277">
        <v>291</v>
      </c>
      <c r="E33" s="277">
        <v>794</v>
      </c>
      <c r="F33" s="278">
        <v>-1.8541409147095234E-2</v>
      </c>
    </row>
    <row r="34" spans="2:7" s="29" customFormat="1" x14ac:dyDescent="0.2">
      <c r="C34" s="279"/>
      <c r="D34" s="279"/>
      <c r="E34" s="280"/>
      <c r="F34" s="279"/>
      <c r="G34" s="99"/>
    </row>
    <row r="41" spans="2:7" x14ac:dyDescent="0.2">
      <c r="E41" s="18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9" orientation="landscape" r:id="rId1"/>
  <headerFooter alignWithMargins="0">
    <oddFooter>&amp;LStatistiques mensuelles
&amp;Rpage 33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zoomScaleNormal="100" workbookViewId="0"/>
  </sheetViews>
  <sheetFormatPr baseColWidth="10" defaultRowHeight="12.75" x14ac:dyDescent="0.2"/>
  <cols>
    <col min="1" max="1" width="12.42578125" style="281" bestFit="1" customWidth="1"/>
    <col min="2" max="6" width="16.7109375" style="281" customWidth="1"/>
    <col min="7" max="16384" width="11.42578125" style="281"/>
  </cols>
  <sheetData>
    <row r="1" spans="1:8" ht="18.75" x14ac:dyDescent="0.2">
      <c r="A1" s="99"/>
      <c r="B1" s="61" t="s">
        <v>92</v>
      </c>
    </row>
    <row r="2" spans="1:8" ht="18.75" x14ac:dyDescent="0.2">
      <c r="A2" s="99"/>
      <c r="B2" s="61" t="s">
        <v>214</v>
      </c>
    </row>
    <row r="3" spans="1:8" ht="15" x14ac:dyDescent="0.2">
      <c r="A3" s="282" t="s">
        <v>285</v>
      </c>
      <c r="B3" s="264"/>
    </row>
    <row r="4" spans="1:8" ht="15" x14ac:dyDescent="0.2">
      <c r="A4" s="64" t="s">
        <v>129</v>
      </c>
      <c r="B4" s="65" t="s">
        <v>130</v>
      </c>
      <c r="C4" s="283"/>
      <c r="D4" s="283"/>
      <c r="E4" s="283"/>
      <c r="F4" s="283"/>
      <c r="G4" s="283"/>
      <c r="H4" s="283"/>
    </row>
    <row r="5" spans="1:8" ht="15" x14ac:dyDescent="0.2">
      <c r="A5" s="64" t="s">
        <v>131</v>
      </c>
      <c r="B5" s="69" t="str">
        <f>couverture!D15</f>
        <v xml:space="preserve">1er juillet 2014 </v>
      </c>
      <c r="C5" s="284"/>
      <c r="D5" s="284"/>
      <c r="E5" s="284"/>
      <c r="F5" s="284"/>
      <c r="G5" s="284"/>
      <c r="H5" s="284"/>
    </row>
    <row r="6" spans="1:8" ht="15" x14ac:dyDescent="0.2">
      <c r="A6" s="68" t="s">
        <v>132</v>
      </c>
      <c r="B6" s="69" t="s">
        <v>133</v>
      </c>
      <c r="C6" s="284"/>
      <c r="D6" s="284"/>
      <c r="E6" s="284"/>
      <c r="F6" s="284"/>
      <c r="G6" s="284"/>
      <c r="H6" s="284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5" orientation="landscape" r:id="rId1"/>
  <headerFooter alignWithMargins="0">
    <oddFooter>&amp;LStatistiques mensuelles
&amp;Rpage 34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topLeftCell="A55" zoomScale="85" zoomScaleNormal="85" zoomScaleSheetLayoutView="50" workbookViewId="0">
      <selection activeCell="E36" sqref="E36"/>
    </sheetView>
  </sheetViews>
  <sheetFormatPr baseColWidth="10" defaultRowHeight="15" x14ac:dyDescent="0.2"/>
  <cols>
    <col min="1" max="1" width="9.42578125" style="99" customWidth="1"/>
    <col min="2" max="2" width="7.140625" style="99" customWidth="1"/>
    <col min="3" max="3" width="27.7109375" style="99" customWidth="1"/>
    <col min="4" max="7" width="16.7109375" style="99" customWidth="1"/>
    <col min="8" max="16384" width="11.42578125" style="99"/>
  </cols>
  <sheetData>
    <row r="1" spans="1:7" ht="14.25" customHeight="1" x14ac:dyDescent="0.2">
      <c r="B1" s="61" t="s">
        <v>95</v>
      </c>
      <c r="C1" s="61"/>
      <c r="D1" s="61"/>
      <c r="E1" s="61"/>
      <c r="F1" s="61"/>
      <c r="G1" s="61"/>
    </row>
    <row r="2" spans="1:7" ht="20.25" customHeight="1" x14ac:dyDescent="0.2">
      <c r="B2" s="61" t="s">
        <v>215</v>
      </c>
      <c r="C2" s="61"/>
      <c r="D2" s="61"/>
      <c r="E2" s="61"/>
      <c r="F2" s="61"/>
      <c r="G2" s="61"/>
    </row>
    <row r="3" spans="1:7" ht="5.25" customHeight="1" x14ac:dyDescent="0.2">
      <c r="B3" s="181"/>
      <c r="C3" s="181"/>
      <c r="G3" s="181"/>
    </row>
    <row r="4" spans="1:7" s="279" customFormat="1" ht="12" x14ac:dyDescent="0.2">
      <c r="A4" s="285" t="s">
        <v>129</v>
      </c>
      <c r="B4" s="286" t="s">
        <v>130</v>
      </c>
      <c r="C4" s="287"/>
      <c r="D4" s="287"/>
      <c r="E4" s="287"/>
      <c r="F4" s="287"/>
      <c r="G4" s="287"/>
    </row>
    <row r="5" spans="1:7" s="279" customFormat="1" ht="12" x14ac:dyDescent="0.2">
      <c r="A5" s="285" t="s">
        <v>131</v>
      </c>
      <c r="B5" s="288" t="str">
        <f>couverture!D15</f>
        <v xml:space="preserve">1er juillet 2014 </v>
      </c>
      <c r="C5" s="289"/>
      <c r="D5" s="289"/>
      <c r="E5" s="289"/>
      <c r="F5" s="289"/>
      <c r="G5" s="289"/>
    </row>
    <row r="6" spans="1:7" s="279" customFormat="1" x14ac:dyDescent="0.2">
      <c r="A6" s="290" t="s">
        <v>132</v>
      </c>
      <c r="B6" s="69" t="s">
        <v>133</v>
      </c>
      <c r="C6" s="289"/>
      <c r="D6" s="289"/>
      <c r="E6" s="289"/>
      <c r="F6" s="289"/>
      <c r="G6" s="289"/>
    </row>
    <row r="7" spans="1:7" ht="8.25" customHeight="1" x14ac:dyDescent="0.2">
      <c r="B7" s="291"/>
      <c r="C7" s="292"/>
      <c r="D7" s="293"/>
      <c r="E7" s="293"/>
      <c r="F7" s="293"/>
      <c r="G7" s="294"/>
    </row>
    <row r="8" spans="1:7" s="279" customFormat="1" ht="42" customHeight="1" x14ac:dyDescent="0.2">
      <c r="B8" s="485" t="s">
        <v>216</v>
      </c>
      <c r="C8" s="486"/>
      <c r="D8" s="295" t="s">
        <v>209</v>
      </c>
      <c r="E8" s="295" t="s">
        <v>217</v>
      </c>
      <c r="F8" s="295" t="s">
        <v>218</v>
      </c>
      <c r="G8" s="295" t="s">
        <v>219</v>
      </c>
    </row>
    <row r="9" spans="1:7" s="279" customFormat="1" ht="15" customHeight="1" x14ac:dyDescent="0.2">
      <c r="B9" s="296" t="s">
        <v>527</v>
      </c>
      <c r="C9" s="297" t="s">
        <v>315</v>
      </c>
      <c r="D9" s="298">
        <v>17</v>
      </c>
      <c r="E9" s="298">
        <v>0</v>
      </c>
      <c r="F9" s="298">
        <v>23</v>
      </c>
      <c r="G9" s="299">
        <f t="shared" ref="G9:G40" si="0">IF(F9=0,"-",(D9+E9)/F9)</f>
        <v>0.73913043478260865</v>
      </c>
    </row>
    <row r="10" spans="1:7" s="279" customFormat="1" ht="15" customHeight="1" x14ac:dyDescent="0.2">
      <c r="A10"/>
      <c r="B10" s="300" t="s">
        <v>294</v>
      </c>
      <c r="C10" s="292" t="s">
        <v>305</v>
      </c>
      <c r="D10" s="293">
        <v>6</v>
      </c>
      <c r="E10" s="293">
        <v>0</v>
      </c>
      <c r="F10" s="293">
        <v>7</v>
      </c>
      <c r="G10" s="294">
        <f t="shared" si="0"/>
        <v>0.8571428571428571</v>
      </c>
    </row>
    <row r="11" spans="1:7" s="279" customFormat="1" ht="15" customHeight="1" x14ac:dyDescent="0.2">
      <c r="A11"/>
      <c r="B11" s="300" t="s">
        <v>294</v>
      </c>
      <c r="C11" s="292" t="s">
        <v>308</v>
      </c>
      <c r="D11" s="293">
        <v>8</v>
      </c>
      <c r="E11" s="293">
        <v>0</v>
      </c>
      <c r="F11" s="293">
        <v>12</v>
      </c>
      <c r="G11" s="294">
        <f t="shared" si="0"/>
        <v>0.66666666666666663</v>
      </c>
    </row>
    <row r="12" spans="1:7" s="279" customFormat="1" ht="15" customHeight="1" x14ac:dyDescent="0.2">
      <c r="A12"/>
      <c r="B12" s="300" t="s">
        <v>294</v>
      </c>
      <c r="C12" s="292" t="s">
        <v>310</v>
      </c>
      <c r="D12" s="293">
        <v>5</v>
      </c>
      <c r="E12" s="293">
        <v>0</v>
      </c>
      <c r="F12" s="293">
        <v>10</v>
      </c>
      <c r="G12" s="294">
        <f t="shared" si="0"/>
        <v>0.5</v>
      </c>
    </row>
    <row r="13" spans="1:7" s="279" customFormat="1" ht="15" customHeight="1" x14ac:dyDescent="0.2">
      <c r="A13"/>
      <c r="B13" s="246" t="s">
        <v>528</v>
      </c>
      <c r="C13" s="305"/>
      <c r="D13" s="306">
        <v>36</v>
      </c>
      <c r="E13" s="306">
        <v>0</v>
      </c>
      <c r="F13" s="306">
        <v>52</v>
      </c>
      <c r="G13" s="307">
        <f t="shared" si="0"/>
        <v>0.69230769230769229</v>
      </c>
    </row>
    <row r="14" spans="1:7" s="279" customFormat="1" ht="15" customHeight="1" x14ac:dyDescent="0.2">
      <c r="A14"/>
      <c r="B14" s="301" t="s">
        <v>527</v>
      </c>
      <c r="C14" s="302" t="s">
        <v>339</v>
      </c>
      <c r="D14" s="303">
        <v>5</v>
      </c>
      <c r="E14" s="303">
        <v>0</v>
      </c>
      <c r="F14" s="303">
        <v>15</v>
      </c>
      <c r="G14" s="304">
        <f t="shared" si="0"/>
        <v>0.33333333333333331</v>
      </c>
    </row>
    <row r="15" spans="1:7" s="279" customFormat="1" ht="15" customHeight="1" x14ac:dyDescent="0.2">
      <c r="A15"/>
      <c r="B15" s="300" t="s">
        <v>294</v>
      </c>
      <c r="C15" s="292" t="s">
        <v>328</v>
      </c>
      <c r="D15" s="293">
        <v>3</v>
      </c>
      <c r="E15" s="293">
        <v>0</v>
      </c>
      <c r="F15" s="293">
        <v>4</v>
      </c>
      <c r="G15" s="294">
        <f t="shared" si="0"/>
        <v>0.75</v>
      </c>
    </row>
    <row r="16" spans="1:7" s="279" customFormat="1" ht="15" customHeight="1" x14ac:dyDescent="0.2">
      <c r="A16"/>
      <c r="B16" s="300" t="s">
        <v>294</v>
      </c>
      <c r="C16" s="292" t="s">
        <v>332</v>
      </c>
      <c r="D16" s="293">
        <v>4</v>
      </c>
      <c r="E16" s="293">
        <v>0</v>
      </c>
      <c r="F16" s="293">
        <v>10</v>
      </c>
      <c r="G16" s="294">
        <f t="shared" si="0"/>
        <v>0.4</v>
      </c>
    </row>
    <row r="17" spans="1:7" s="279" customFormat="1" ht="15" customHeight="1" x14ac:dyDescent="0.2">
      <c r="A17"/>
      <c r="B17" s="300" t="s">
        <v>294</v>
      </c>
      <c r="C17" s="292" t="s">
        <v>201</v>
      </c>
      <c r="D17" s="293">
        <v>4</v>
      </c>
      <c r="E17" s="293">
        <v>0</v>
      </c>
      <c r="F17" s="293">
        <v>11</v>
      </c>
      <c r="G17" s="294">
        <f t="shared" si="0"/>
        <v>0.36363636363636365</v>
      </c>
    </row>
    <row r="18" spans="1:7" s="279" customFormat="1" ht="15" customHeight="1" x14ac:dyDescent="0.2">
      <c r="A18"/>
      <c r="B18" s="300" t="s">
        <v>294</v>
      </c>
      <c r="C18" s="292" t="s">
        <v>334</v>
      </c>
      <c r="D18" s="293">
        <v>3</v>
      </c>
      <c r="E18" s="293">
        <v>0</v>
      </c>
      <c r="F18" s="293">
        <v>6</v>
      </c>
      <c r="G18" s="294">
        <f t="shared" si="0"/>
        <v>0.5</v>
      </c>
    </row>
    <row r="19" spans="1:7" s="279" customFormat="1" ht="15" customHeight="1" x14ac:dyDescent="0.2">
      <c r="A19"/>
      <c r="B19" s="300" t="s">
        <v>294</v>
      </c>
      <c r="C19" s="292" t="s">
        <v>335</v>
      </c>
      <c r="D19" s="293">
        <v>8</v>
      </c>
      <c r="E19" s="293">
        <v>0</v>
      </c>
      <c r="F19" s="293">
        <v>10</v>
      </c>
      <c r="G19" s="294">
        <f t="shared" si="0"/>
        <v>0.8</v>
      </c>
    </row>
    <row r="20" spans="1:7" s="279" customFormat="1" ht="15" customHeight="1" x14ac:dyDescent="0.2">
      <c r="A20"/>
      <c r="B20" s="300" t="s">
        <v>294</v>
      </c>
      <c r="C20" s="292" t="s">
        <v>336</v>
      </c>
      <c r="D20" s="293">
        <v>7</v>
      </c>
      <c r="E20" s="293">
        <v>0</v>
      </c>
      <c r="F20" s="293">
        <v>10</v>
      </c>
      <c r="G20" s="294">
        <f t="shared" si="0"/>
        <v>0.7</v>
      </c>
    </row>
    <row r="21" spans="1:7" s="279" customFormat="1" ht="15" customHeight="1" x14ac:dyDescent="0.2">
      <c r="A21"/>
      <c r="B21" s="246" t="s">
        <v>529</v>
      </c>
      <c r="C21" s="305"/>
      <c r="D21" s="306">
        <v>34</v>
      </c>
      <c r="E21" s="306">
        <v>0</v>
      </c>
      <c r="F21" s="306">
        <v>66</v>
      </c>
      <c r="G21" s="307">
        <f t="shared" si="0"/>
        <v>0.51515151515151514</v>
      </c>
    </row>
    <row r="22" spans="1:7" s="279" customFormat="1" ht="15" customHeight="1" x14ac:dyDescent="0.2">
      <c r="A22"/>
      <c r="B22" s="301" t="s">
        <v>527</v>
      </c>
      <c r="C22" s="302" t="s">
        <v>359</v>
      </c>
      <c r="D22" s="303">
        <v>10</v>
      </c>
      <c r="E22" s="303">
        <v>0</v>
      </c>
      <c r="F22" s="303">
        <v>15</v>
      </c>
      <c r="G22" s="304">
        <f t="shared" si="0"/>
        <v>0.66666666666666663</v>
      </c>
    </row>
    <row r="23" spans="1:7" s="279" customFormat="1" ht="15" customHeight="1" x14ac:dyDescent="0.2">
      <c r="A23"/>
      <c r="B23" s="300" t="s">
        <v>527</v>
      </c>
      <c r="C23" s="292" t="s">
        <v>360</v>
      </c>
      <c r="D23" s="293">
        <v>8</v>
      </c>
      <c r="E23" s="293">
        <v>0</v>
      </c>
      <c r="F23" s="293">
        <v>15</v>
      </c>
      <c r="G23" s="294">
        <f t="shared" si="0"/>
        <v>0.53333333333333333</v>
      </c>
    </row>
    <row r="24" spans="1:7" s="279" customFormat="1" ht="15" customHeight="1" x14ac:dyDescent="0.2">
      <c r="A24"/>
      <c r="B24" s="300" t="s">
        <v>527</v>
      </c>
      <c r="C24" s="292" t="s">
        <v>361</v>
      </c>
      <c r="D24" s="293">
        <v>19</v>
      </c>
      <c r="E24" s="293">
        <v>0</v>
      </c>
      <c r="F24" s="293">
        <v>20</v>
      </c>
      <c r="G24" s="294">
        <f t="shared" si="0"/>
        <v>0.95</v>
      </c>
    </row>
    <row r="25" spans="1:7" s="279" customFormat="1" ht="15" customHeight="1" x14ac:dyDescent="0.2">
      <c r="A25"/>
      <c r="B25" s="300" t="s">
        <v>527</v>
      </c>
      <c r="C25" s="292" t="s">
        <v>363</v>
      </c>
      <c r="D25" s="293">
        <v>13</v>
      </c>
      <c r="E25" s="293">
        <v>0</v>
      </c>
      <c r="F25" s="293">
        <v>22</v>
      </c>
      <c r="G25" s="294">
        <f t="shared" si="0"/>
        <v>0.59090909090909094</v>
      </c>
    </row>
    <row r="26" spans="1:7" s="279" customFormat="1" ht="15" customHeight="1" x14ac:dyDescent="0.2">
      <c r="A26"/>
      <c r="B26" s="300" t="s">
        <v>178</v>
      </c>
      <c r="C26" s="292" t="s">
        <v>370</v>
      </c>
      <c r="D26" s="293">
        <v>51</v>
      </c>
      <c r="E26" s="293">
        <v>0</v>
      </c>
      <c r="F26" s="293">
        <v>60</v>
      </c>
      <c r="G26" s="294">
        <f t="shared" si="0"/>
        <v>0.85</v>
      </c>
    </row>
    <row r="27" spans="1:7" s="279" customFormat="1" ht="15" customHeight="1" x14ac:dyDescent="0.2">
      <c r="A27"/>
      <c r="B27" s="300" t="s">
        <v>294</v>
      </c>
      <c r="C27" s="292" t="s">
        <v>357</v>
      </c>
      <c r="D27" s="293">
        <v>13</v>
      </c>
      <c r="E27" s="293">
        <v>0</v>
      </c>
      <c r="F27" s="293">
        <v>32</v>
      </c>
      <c r="G27" s="294">
        <f t="shared" si="0"/>
        <v>0.40625</v>
      </c>
    </row>
    <row r="28" spans="1:7" s="279" customFormat="1" ht="15" customHeight="1" x14ac:dyDescent="0.2">
      <c r="A28"/>
      <c r="B28" s="246" t="s">
        <v>530</v>
      </c>
      <c r="C28" s="305"/>
      <c r="D28" s="306">
        <v>114</v>
      </c>
      <c r="E28" s="306">
        <v>0</v>
      </c>
      <c r="F28" s="306">
        <v>164</v>
      </c>
      <c r="G28" s="307">
        <f t="shared" si="0"/>
        <v>0.69512195121951215</v>
      </c>
    </row>
    <row r="29" spans="1:7" s="279" customFormat="1" ht="15" customHeight="1" x14ac:dyDescent="0.2">
      <c r="A29"/>
      <c r="B29" s="301" t="s">
        <v>527</v>
      </c>
      <c r="C29" s="302" t="s">
        <v>388</v>
      </c>
      <c r="D29" s="303">
        <v>3</v>
      </c>
      <c r="E29" s="303">
        <v>0</v>
      </c>
      <c r="F29" s="303">
        <v>8</v>
      </c>
      <c r="G29" s="304">
        <f t="shared" si="0"/>
        <v>0.375</v>
      </c>
    </row>
    <row r="30" spans="1:7" s="279" customFormat="1" ht="15" customHeight="1" x14ac:dyDescent="0.2">
      <c r="A30"/>
      <c r="B30" s="300" t="s">
        <v>178</v>
      </c>
      <c r="C30" s="292" t="s">
        <v>391</v>
      </c>
      <c r="D30" s="293">
        <v>32</v>
      </c>
      <c r="E30" s="293">
        <v>0</v>
      </c>
      <c r="F30" s="293">
        <v>60</v>
      </c>
      <c r="G30" s="294">
        <f t="shared" si="0"/>
        <v>0.53333333333333333</v>
      </c>
    </row>
    <row r="31" spans="1:7" s="279" customFormat="1" ht="15" customHeight="1" x14ac:dyDescent="0.2">
      <c r="A31"/>
      <c r="B31" s="300" t="s">
        <v>294</v>
      </c>
      <c r="C31" s="292" t="s">
        <v>374</v>
      </c>
      <c r="D31" s="293">
        <v>7</v>
      </c>
      <c r="E31" s="293">
        <v>0</v>
      </c>
      <c r="F31" s="293">
        <v>18</v>
      </c>
      <c r="G31" s="294">
        <f t="shared" si="0"/>
        <v>0.3888888888888889</v>
      </c>
    </row>
    <row r="32" spans="1:7" s="279" customFormat="1" ht="15" customHeight="1" x14ac:dyDescent="0.2">
      <c r="A32"/>
      <c r="B32" s="300" t="s">
        <v>294</v>
      </c>
      <c r="C32" s="292" t="s">
        <v>377</v>
      </c>
      <c r="D32" s="293">
        <v>11</v>
      </c>
      <c r="E32" s="293">
        <v>0</v>
      </c>
      <c r="F32" s="293">
        <v>20</v>
      </c>
      <c r="G32" s="294">
        <f t="shared" si="0"/>
        <v>0.55000000000000004</v>
      </c>
    </row>
    <row r="33" spans="1:7" s="279" customFormat="1" ht="15" customHeight="1" x14ac:dyDescent="0.2">
      <c r="A33"/>
      <c r="B33" s="246" t="s">
        <v>531</v>
      </c>
      <c r="C33" s="305"/>
      <c r="D33" s="306">
        <v>53</v>
      </c>
      <c r="E33" s="306">
        <v>0</v>
      </c>
      <c r="F33" s="306">
        <v>106</v>
      </c>
      <c r="G33" s="307">
        <f t="shared" si="0"/>
        <v>0.5</v>
      </c>
    </row>
    <row r="34" spans="1:7" s="279" customFormat="1" ht="15" customHeight="1" x14ac:dyDescent="0.2">
      <c r="A34"/>
      <c r="B34" s="301" t="s">
        <v>527</v>
      </c>
      <c r="C34" s="302" t="s">
        <v>399</v>
      </c>
      <c r="D34" s="303">
        <v>15</v>
      </c>
      <c r="E34" s="303">
        <v>0</v>
      </c>
      <c r="F34" s="303">
        <v>20</v>
      </c>
      <c r="G34" s="304">
        <f t="shared" si="0"/>
        <v>0.75</v>
      </c>
    </row>
    <row r="35" spans="1:7" s="279" customFormat="1" ht="15" customHeight="1" x14ac:dyDescent="0.2">
      <c r="A35"/>
      <c r="B35" s="300" t="s">
        <v>527</v>
      </c>
      <c r="C35" s="292" t="s">
        <v>400</v>
      </c>
      <c r="D35" s="293">
        <v>1</v>
      </c>
      <c r="E35" s="293">
        <v>0</v>
      </c>
      <c r="F35" s="293">
        <v>4</v>
      </c>
      <c r="G35" s="294">
        <f t="shared" si="0"/>
        <v>0.25</v>
      </c>
    </row>
    <row r="36" spans="1:7" s="279" customFormat="1" ht="15" customHeight="1" x14ac:dyDescent="0.2">
      <c r="A36"/>
      <c r="B36" s="300" t="s">
        <v>527</v>
      </c>
      <c r="C36" s="292" t="s">
        <v>539</v>
      </c>
      <c r="D36" s="293">
        <v>6</v>
      </c>
      <c r="E36" s="293">
        <v>0</v>
      </c>
      <c r="F36" s="293">
        <v>5</v>
      </c>
      <c r="G36" s="294">
        <f t="shared" si="0"/>
        <v>1.2</v>
      </c>
    </row>
    <row r="37" spans="1:7" s="279" customFormat="1" ht="15" customHeight="1" x14ac:dyDescent="0.2">
      <c r="A37"/>
      <c r="B37" s="300" t="s">
        <v>178</v>
      </c>
      <c r="C37" s="292" t="s">
        <v>204</v>
      </c>
      <c r="D37" s="293">
        <v>59</v>
      </c>
      <c r="E37" s="293">
        <v>0</v>
      </c>
      <c r="F37" s="293">
        <v>59</v>
      </c>
      <c r="G37" s="294">
        <f t="shared" si="0"/>
        <v>1</v>
      </c>
    </row>
    <row r="38" spans="1:7" s="279" customFormat="1" ht="15" customHeight="1" x14ac:dyDescent="0.2">
      <c r="A38"/>
      <c r="B38" s="300" t="s">
        <v>294</v>
      </c>
      <c r="C38" s="292" t="s">
        <v>396</v>
      </c>
      <c r="D38" s="293">
        <v>33</v>
      </c>
      <c r="E38" s="293">
        <v>0</v>
      </c>
      <c r="F38" s="293">
        <v>31</v>
      </c>
      <c r="G38" s="294">
        <f t="shared" si="0"/>
        <v>1.064516129032258</v>
      </c>
    </row>
    <row r="39" spans="1:7" s="279" customFormat="1" ht="15" customHeight="1" x14ac:dyDescent="0.2">
      <c r="A39"/>
      <c r="B39" s="246" t="s">
        <v>532</v>
      </c>
      <c r="C39" s="305"/>
      <c r="D39" s="306">
        <v>114</v>
      </c>
      <c r="E39" s="306">
        <v>0</v>
      </c>
      <c r="F39" s="306">
        <v>119</v>
      </c>
      <c r="G39" s="307">
        <f t="shared" si="0"/>
        <v>0.95798319327731096</v>
      </c>
    </row>
    <row r="40" spans="1:7" s="279" customFormat="1" ht="15" customHeight="1" x14ac:dyDescent="0.2">
      <c r="A40"/>
      <c r="B40" s="301" t="s">
        <v>527</v>
      </c>
      <c r="C40" s="302" t="s">
        <v>540</v>
      </c>
      <c r="D40" s="303">
        <v>0</v>
      </c>
      <c r="E40" s="303">
        <v>0</v>
      </c>
      <c r="F40" s="303">
        <v>0</v>
      </c>
      <c r="G40" s="304" t="str">
        <f t="shared" si="0"/>
        <v>-</v>
      </c>
    </row>
    <row r="41" spans="1:7" s="279" customFormat="1" ht="15" customHeight="1" x14ac:dyDescent="0.2">
      <c r="A41"/>
      <c r="B41" s="300" t="s">
        <v>178</v>
      </c>
      <c r="C41" s="292" t="s">
        <v>423</v>
      </c>
      <c r="D41" s="293">
        <v>54</v>
      </c>
      <c r="E41" s="293">
        <v>0</v>
      </c>
      <c r="F41" s="293">
        <v>60</v>
      </c>
      <c r="G41" s="294">
        <f t="shared" ref="G41:G72" si="1">IF(F41=0,"-",(D41+E41)/F41)</f>
        <v>0.9</v>
      </c>
    </row>
    <row r="42" spans="1:7" s="279" customFormat="1" ht="15" customHeight="1" x14ac:dyDescent="0.2">
      <c r="A42"/>
      <c r="B42" s="300" t="s">
        <v>294</v>
      </c>
      <c r="C42" s="292" t="s">
        <v>409</v>
      </c>
      <c r="D42" s="293">
        <v>103</v>
      </c>
      <c r="E42" s="293">
        <v>0</v>
      </c>
      <c r="F42" s="293">
        <v>94</v>
      </c>
      <c r="G42" s="294">
        <f t="shared" si="1"/>
        <v>1.0957446808510638</v>
      </c>
    </row>
    <row r="43" spans="1:7" s="279" customFormat="1" ht="15" customHeight="1" x14ac:dyDescent="0.2">
      <c r="A43"/>
      <c r="B43" s="300" t="s">
        <v>294</v>
      </c>
      <c r="C43" s="292" t="s">
        <v>410</v>
      </c>
      <c r="D43" s="293">
        <v>23</v>
      </c>
      <c r="E43" s="293">
        <v>0</v>
      </c>
      <c r="F43" s="293">
        <v>18</v>
      </c>
      <c r="G43" s="294">
        <f t="shared" si="1"/>
        <v>1.2777777777777777</v>
      </c>
    </row>
    <row r="44" spans="1:7" s="279" customFormat="1" ht="15" customHeight="1" x14ac:dyDescent="0.2">
      <c r="A44"/>
      <c r="B44" s="300" t="s">
        <v>294</v>
      </c>
      <c r="C44" s="292" t="s">
        <v>541</v>
      </c>
      <c r="D44" s="293">
        <v>0</v>
      </c>
      <c r="E44" s="293">
        <v>0</v>
      </c>
      <c r="F44" s="293">
        <v>0</v>
      </c>
      <c r="G44" s="294" t="str">
        <f t="shared" si="1"/>
        <v>-</v>
      </c>
    </row>
    <row r="45" spans="1:7" s="279" customFormat="1" ht="15" customHeight="1" x14ac:dyDescent="0.2">
      <c r="A45"/>
      <c r="B45" s="300" t="s">
        <v>294</v>
      </c>
      <c r="C45" s="292" t="s">
        <v>414</v>
      </c>
      <c r="D45" s="293">
        <v>39</v>
      </c>
      <c r="E45" s="293">
        <v>0</v>
      </c>
      <c r="F45" s="293">
        <v>40</v>
      </c>
      <c r="G45" s="294">
        <f t="shared" si="1"/>
        <v>0.97499999999999998</v>
      </c>
    </row>
    <row r="46" spans="1:7" s="279" customFormat="1" ht="15" customHeight="1" x14ac:dyDescent="0.2">
      <c r="A46"/>
      <c r="B46" s="246" t="s">
        <v>533</v>
      </c>
      <c r="C46" s="305"/>
      <c r="D46" s="306">
        <v>219</v>
      </c>
      <c r="E46" s="306">
        <v>0</v>
      </c>
      <c r="F46" s="306">
        <v>212</v>
      </c>
      <c r="G46" s="307">
        <f t="shared" si="1"/>
        <v>1.0330188679245282</v>
      </c>
    </row>
    <row r="47" spans="1:7" s="279" customFormat="1" ht="15" customHeight="1" x14ac:dyDescent="0.2">
      <c r="A47"/>
      <c r="B47" s="301" t="s">
        <v>527</v>
      </c>
      <c r="C47" s="302" t="s">
        <v>206</v>
      </c>
      <c r="D47" s="303">
        <v>3</v>
      </c>
      <c r="E47" s="303">
        <v>0</v>
      </c>
      <c r="F47" s="303">
        <v>3</v>
      </c>
      <c r="G47" s="304">
        <f t="shared" si="1"/>
        <v>1</v>
      </c>
    </row>
    <row r="48" spans="1:7" s="279" customFormat="1" ht="15" customHeight="1" x14ac:dyDescent="0.2">
      <c r="A48"/>
      <c r="B48" s="300" t="s">
        <v>178</v>
      </c>
      <c r="C48" s="292" t="s">
        <v>442</v>
      </c>
      <c r="D48" s="293">
        <v>39</v>
      </c>
      <c r="E48" s="293">
        <v>0</v>
      </c>
      <c r="F48" s="293">
        <v>55</v>
      </c>
      <c r="G48" s="294">
        <f t="shared" si="1"/>
        <v>0.70909090909090911</v>
      </c>
    </row>
    <row r="49" spans="1:7" s="279" customFormat="1" ht="15" customHeight="1" x14ac:dyDescent="0.2">
      <c r="A49"/>
      <c r="B49" s="300" t="s">
        <v>294</v>
      </c>
      <c r="C49" s="292" t="s">
        <v>426</v>
      </c>
      <c r="D49" s="293">
        <v>6</v>
      </c>
      <c r="E49" s="293">
        <v>0</v>
      </c>
      <c r="F49" s="293">
        <v>10</v>
      </c>
      <c r="G49" s="294">
        <f t="shared" si="1"/>
        <v>0.6</v>
      </c>
    </row>
    <row r="50" spans="1:7" s="279" customFormat="1" ht="15" customHeight="1" x14ac:dyDescent="0.2">
      <c r="A50"/>
      <c r="B50" s="300" t="s">
        <v>294</v>
      </c>
      <c r="C50" s="292" t="s">
        <v>427</v>
      </c>
      <c r="D50" s="293">
        <v>6</v>
      </c>
      <c r="E50" s="293">
        <v>0</v>
      </c>
      <c r="F50" s="293">
        <v>10</v>
      </c>
      <c r="G50" s="294">
        <f t="shared" si="1"/>
        <v>0.6</v>
      </c>
    </row>
    <row r="51" spans="1:7" s="279" customFormat="1" ht="15" customHeight="1" x14ac:dyDescent="0.2">
      <c r="A51"/>
      <c r="B51" s="246" t="s">
        <v>534</v>
      </c>
      <c r="C51" s="305"/>
      <c r="D51" s="306">
        <v>54</v>
      </c>
      <c r="E51" s="306">
        <v>0</v>
      </c>
      <c r="F51" s="306">
        <v>78</v>
      </c>
      <c r="G51" s="307">
        <f t="shared" si="1"/>
        <v>0.69230769230769229</v>
      </c>
    </row>
    <row r="52" spans="1:7" s="279" customFormat="1" ht="15" customHeight="1" x14ac:dyDescent="0.2">
      <c r="A52"/>
      <c r="B52" s="301" t="s">
        <v>527</v>
      </c>
      <c r="C52" s="302" t="s">
        <v>455</v>
      </c>
      <c r="D52" s="303">
        <v>5</v>
      </c>
      <c r="E52" s="303">
        <v>0</v>
      </c>
      <c r="F52" s="303">
        <v>14</v>
      </c>
      <c r="G52" s="304">
        <f t="shared" si="1"/>
        <v>0.35714285714285715</v>
      </c>
    </row>
    <row r="53" spans="1:7" s="279" customFormat="1" ht="15" customHeight="1" x14ac:dyDescent="0.2">
      <c r="A53"/>
      <c r="B53" s="300" t="s">
        <v>325</v>
      </c>
      <c r="C53" s="292" t="s">
        <v>446</v>
      </c>
      <c r="D53" s="293">
        <v>0</v>
      </c>
      <c r="E53" s="293">
        <v>0</v>
      </c>
      <c r="F53" s="293">
        <v>1</v>
      </c>
      <c r="G53" s="294">
        <f t="shared" si="1"/>
        <v>0</v>
      </c>
    </row>
    <row r="54" spans="1:7" s="279" customFormat="1" ht="15" customHeight="1" x14ac:dyDescent="0.2">
      <c r="A54"/>
      <c r="B54" s="300" t="s">
        <v>325</v>
      </c>
      <c r="C54" s="292" t="s">
        <v>464</v>
      </c>
      <c r="D54" s="293">
        <v>0</v>
      </c>
      <c r="E54" s="293">
        <v>0</v>
      </c>
      <c r="F54" s="293">
        <v>2</v>
      </c>
      <c r="G54" s="294">
        <f t="shared" si="1"/>
        <v>0</v>
      </c>
    </row>
    <row r="55" spans="1:7" s="279" customFormat="1" ht="15" customHeight="1" x14ac:dyDescent="0.2">
      <c r="A55"/>
      <c r="B55" s="300" t="s">
        <v>325</v>
      </c>
      <c r="C55" s="292" t="s">
        <v>465</v>
      </c>
      <c r="D55" s="293">
        <v>0</v>
      </c>
      <c r="E55" s="293">
        <v>0</v>
      </c>
      <c r="F55" s="293">
        <v>2</v>
      </c>
      <c r="G55" s="294">
        <f t="shared" si="1"/>
        <v>0</v>
      </c>
    </row>
    <row r="56" spans="1:7" s="279" customFormat="1" ht="15" customHeight="1" x14ac:dyDescent="0.2">
      <c r="A56"/>
      <c r="B56" s="300" t="s">
        <v>294</v>
      </c>
      <c r="C56" s="292" t="s">
        <v>448</v>
      </c>
      <c r="D56" s="293">
        <v>8</v>
      </c>
      <c r="E56" s="293">
        <v>0</v>
      </c>
      <c r="F56" s="293">
        <v>14</v>
      </c>
      <c r="G56" s="294">
        <f t="shared" si="1"/>
        <v>0.5714285714285714</v>
      </c>
    </row>
    <row r="57" spans="1:7" s="279" customFormat="1" ht="15" customHeight="1" x14ac:dyDescent="0.2">
      <c r="A57"/>
      <c r="B57" s="300" t="s">
        <v>294</v>
      </c>
      <c r="C57" s="292" t="s">
        <v>452</v>
      </c>
      <c r="D57" s="293">
        <v>9</v>
      </c>
      <c r="E57" s="293">
        <v>0</v>
      </c>
      <c r="F57" s="293">
        <v>20</v>
      </c>
      <c r="G57" s="294">
        <f t="shared" si="1"/>
        <v>0.45</v>
      </c>
    </row>
    <row r="58" spans="1:7" s="279" customFormat="1" ht="15" customHeight="1" x14ac:dyDescent="0.2">
      <c r="A58"/>
      <c r="B58" s="300" t="s">
        <v>294</v>
      </c>
      <c r="C58" s="292" t="s">
        <v>207</v>
      </c>
      <c r="D58" s="293">
        <v>24</v>
      </c>
      <c r="E58" s="293">
        <v>0</v>
      </c>
      <c r="F58" s="293">
        <v>38</v>
      </c>
      <c r="G58" s="294">
        <f t="shared" si="1"/>
        <v>0.63157894736842102</v>
      </c>
    </row>
    <row r="59" spans="1:7" s="279" customFormat="1" ht="15" customHeight="1" x14ac:dyDescent="0.2">
      <c r="A59"/>
      <c r="B59" s="246" t="s">
        <v>535</v>
      </c>
      <c r="C59" s="305"/>
      <c r="D59" s="306">
        <v>46</v>
      </c>
      <c r="E59" s="306">
        <v>0</v>
      </c>
      <c r="F59" s="306">
        <v>91</v>
      </c>
      <c r="G59" s="307">
        <f t="shared" si="1"/>
        <v>0.50549450549450547</v>
      </c>
    </row>
    <row r="60" spans="1:7" s="279" customFormat="1" ht="15" customHeight="1" x14ac:dyDescent="0.2">
      <c r="A60"/>
      <c r="B60" s="301" t="s">
        <v>527</v>
      </c>
      <c r="C60" s="302" t="s">
        <v>476</v>
      </c>
      <c r="D60" s="303">
        <v>7</v>
      </c>
      <c r="E60" s="303">
        <v>0</v>
      </c>
      <c r="F60" s="303">
        <v>12</v>
      </c>
      <c r="G60" s="304">
        <f t="shared" si="1"/>
        <v>0.58333333333333337</v>
      </c>
    </row>
    <row r="61" spans="1:7" s="279" customFormat="1" ht="15" customHeight="1" x14ac:dyDescent="0.2">
      <c r="A61"/>
      <c r="B61" s="300" t="s">
        <v>527</v>
      </c>
      <c r="C61" s="292" t="s">
        <v>478</v>
      </c>
      <c r="D61" s="293">
        <v>14</v>
      </c>
      <c r="E61" s="293">
        <v>0</v>
      </c>
      <c r="F61" s="293">
        <v>20</v>
      </c>
      <c r="G61" s="294">
        <f t="shared" si="1"/>
        <v>0.7</v>
      </c>
    </row>
    <row r="62" spans="1:7" s="279" customFormat="1" ht="15" customHeight="1" x14ac:dyDescent="0.2">
      <c r="A62"/>
      <c r="B62" s="300" t="s">
        <v>178</v>
      </c>
      <c r="C62" s="292" t="s">
        <v>482</v>
      </c>
      <c r="D62" s="293">
        <v>43</v>
      </c>
      <c r="E62" s="293">
        <v>0</v>
      </c>
      <c r="F62" s="293">
        <v>59</v>
      </c>
      <c r="G62" s="294">
        <f t="shared" si="1"/>
        <v>0.72881355932203384</v>
      </c>
    </row>
    <row r="63" spans="1:7" s="279" customFormat="1" ht="15" customHeight="1" x14ac:dyDescent="0.2">
      <c r="A63"/>
      <c r="B63" s="246" t="s">
        <v>536</v>
      </c>
      <c r="C63" s="305"/>
      <c r="D63" s="306">
        <v>64</v>
      </c>
      <c r="E63" s="306">
        <v>0</v>
      </c>
      <c r="F63" s="306">
        <v>91</v>
      </c>
      <c r="G63" s="307">
        <f t="shared" si="1"/>
        <v>0.70329670329670335</v>
      </c>
    </row>
    <row r="64" spans="1:7" s="279" customFormat="1" ht="15" customHeight="1" x14ac:dyDescent="0.2">
      <c r="A64"/>
      <c r="B64" s="301" t="s">
        <v>527</v>
      </c>
      <c r="C64" s="302" t="s">
        <v>484</v>
      </c>
      <c r="D64" s="303">
        <v>7</v>
      </c>
      <c r="E64" s="303">
        <v>0</v>
      </c>
      <c r="F64" s="303">
        <v>15</v>
      </c>
      <c r="G64" s="304">
        <f t="shared" si="1"/>
        <v>0.46666666666666667</v>
      </c>
    </row>
    <row r="65" spans="1:7" s="279" customFormat="1" ht="15" customHeight="1" x14ac:dyDescent="0.2">
      <c r="A65"/>
      <c r="B65" s="300" t="s">
        <v>527</v>
      </c>
      <c r="C65" s="292" t="s">
        <v>485</v>
      </c>
      <c r="D65" s="293">
        <v>10</v>
      </c>
      <c r="E65" s="293">
        <v>0</v>
      </c>
      <c r="F65" s="293">
        <v>17</v>
      </c>
      <c r="G65" s="294">
        <f t="shared" si="1"/>
        <v>0.58823529411764708</v>
      </c>
    </row>
    <row r="66" spans="1:7" s="279" customFormat="1" ht="15" customHeight="1" x14ac:dyDescent="0.2">
      <c r="A66"/>
      <c r="B66" s="300" t="s">
        <v>527</v>
      </c>
      <c r="C66" s="292" t="s">
        <v>494</v>
      </c>
      <c r="D66" s="293">
        <v>4</v>
      </c>
      <c r="E66" s="293">
        <v>0</v>
      </c>
      <c r="F66" s="293">
        <v>2</v>
      </c>
      <c r="G66" s="294">
        <f t="shared" si="1"/>
        <v>2</v>
      </c>
    </row>
    <row r="67" spans="1:7" s="279" customFormat="1" ht="15" customHeight="1" x14ac:dyDescent="0.2">
      <c r="A67"/>
      <c r="B67" s="300" t="s">
        <v>527</v>
      </c>
      <c r="C67" s="292" t="s">
        <v>495</v>
      </c>
      <c r="D67" s="293">
        <v>6</v>
      </c>
      <c r="E67" s="293">
        <v>0</v>
      </c>
      <c r="F67" s="293">
        <v>18</v>
      </c>
      <c r="G67" s="294">
        <f t="shared" si="1"/>
        <v>0.33333333333333331</v>
      </c>
    </row>
    <row r="68" spans="1:7" s="279" customFormat="1" ht="15" customHeight="1" x14ac:dyDescent="0.2">
      <c r="A68"/>
      <c r="B68" s="300" t="s">
        <v>527</v>
      </c>
      <c r="C68" s="292" t="s">
        <v>542</v>
      </c>
      <c r="D68" s="293">
        <v>7</v>
      </c>
      <c r="E68" s="293">
        <v>0</v>
      </c>
      <c r="F68" s="293">
        <v>21</v>
      </c>
      <c r="G68" s="294">
        <f t="shared" si="1"/>
        <v>0.33333333333333331</v>
      </c>
    </row>
    <row r="69" spans="1:7" s="279" customFormat="1" ht="15" customHeight="1" x14ac:dyDescent="0.2">
      <c r="A69"/>
      <c r="B69" s="300" t="s">
        <v>527</v>
      </c>
      <c r="C69" s="292" t="s">
        <v>488</v>
      </c>
      <c r="D69" s="293">
        <v>16</v>
      </c>
      <c r="E69" s="293">
        <v>0</v>
      </c>
      <c r="F69" s="293">
        <v>40</v>
      </c>
      <c r="G69" s="294">
        <f t="shared" si="1"/>
        <v>0.4</v>
      </c>
    </row>
    <row r="70" spans="1:7" s="279" customFormat="1" ht="15" customHeight="1" x14ac:dyDescent="0.2">
      <c r="A70"/>
      <c r="B70" s="300" t="s">
        <v>527</v>
      </c>
      <c r="C70" s="292" t="s">
        <v>489</v>
      </c>
      <c r="D70" s="293">
        <v>0</v>
      </c>
      <c r="E70" s="293">
        <v>0</v>
      </c>
      <c r="F70" s="293">
        <v>2</v>
      </c>
      <c r="G70" s="294">
        <f t="shared" si="1"/>
        <v>0</v>
      </c>
    </row>
    <row r="71" spans="1:7" s="279" customFormat="1" ht="15" customHeight="1" x14ac:dyDescent="0.2">
      <c r="A71"/>
      <c r="B71" s="300" t="s">
        <v>294</v>
      </c>
      <c r="C71" s="292" t="s">
        <v>490</v>
      </c>
      <c r="D71" s="293">
        <v>10</v>
      </c>
      <c r="E71" s="293">
        <v>0</v>
      </c>
      <c r="F71" s="293">
        <v>10</v>
      </c>
      <c r="G71" s="294">
        <f t="shared" si="1"/>
        <v>1</v>
      </c>
    </row>
    <row r="72" spans="1:7" s="279" customFormat="1" ht="15" customHeight="1" x14ac:dyDescent="0.2">
      <c r="A72"/>
      <c r="B72" s="246" t="s">
        <v>537</v>
      </c>
      <c r="C72" s="305"/>
      <c r="D72" s="306">
        <v>60</v>
      </c>
      <c r="E72" s="306">
        <v>0</v>
      </c>
      <c r="F72" s="306">
        <v>125</v>
      </c>
      <c r="G72" s="307">
        <f t="shared" si="1"/>
        <v>0.48</v>
      </c>
    </row>
    <row r="73" spans="1:7" s="279" customFormat="1" ht="15" customHeight="1" x14ac:dyDescent="0.2">
      <c r="A73"/>
      <c r="B73" s="246" t="s">
        <v>538</v>
      </c>
      <c r="C73" s="305"/>
      <c r="D73" s="306">
        <v>794</v>
      </c>
      <c r="E73" s="306">
        <v>0</v>
      </c>
      <c r="F73" s="306">
        <v>1104</v>
      </c>
      <c r="G73" s="307">
        <f t="shared" ref="G73" si="2">IF(F73=0,"-",(D73+E73)/F73)</f>
        <v>0.71920289855072461</v>
      </c>
    </row>
    <row r="74" spans="1:7" s="279" customFormat="1" ht="15" customHeight="1" x14ac:dyDescent="0.2">
      <c r="A74"/>
      <c r="B74" s="308" t="s">
        <v>220</v>
      </c>
      <c r="C74" s="251"/>
      <c r="D74" s="251"/>
      <c r="E74" s="251"/>
      <c r="F74" s="251"/>
      <c r="G74" s="251"/>
    </row>
    <row r="75" spans="1:7" s="279" customFormat="1" ht="15" customHeight="1" x14ac:dyDescent="0.2">
      <c r="A75"/>
      <c r="B75"/>
      <c r="C75"/>
      <c r="D75"/>
      <c r="E75"/>
      <c r="F75"/>
      <c r="G75"/>
    </row>
    <row r="76" spans="1:7" s="279" customFormat="1" ht="15" customHeight="1" x14ac:dyDescent="0.2">
      <c r="A76"/>
      <c r="B76"/>
      <c r="C76"/>
      <c r="D76"/>
      <c r="E76"/>
      <c r="F76"/>
      <c r="G76"/>
    </row>
    <row r="77" spans="1:7" s="279" customFormat="1" ht="15" customHeight="1" x14ac:dyDescent="0.2">
      <c r="A77"/>
      <c r="B77"/>
      <c r="C77"/>
      <c r="D77"/>
      <c r="E77"/>
      <c r="F77"/>
      <c r="G77"/>
    </row>
    <row r="78" spans="1:7" s="279" customFormat="1" ht="15" customHeight="1" x14ac:dyDescent="0.2">
      <c r="A78"/>
      <c r="B78"/>
      <c r="C78"/>
      <c r="D78"/>
      <c r="E78"/>
      <c r="F78"/>
      <c r="G78"/>
    </row>
    <row r="79" spans="1:7" s="279" customFormat="1" ht="15" customHeight="1" x14ac:dyDescent="0.2">
      <c r="A79"/>
      <c r="B79"/>
      <c r="C79"/>
      <c r="D79"/>
      <c r="E79"/>
      <c r="F79"/>
      <c r="G79"/>
    </row>
    <row r="80" spans="1:7" s="279" customFormat="1" ht="15" customHeight="1" x14ac:dyDescent="0.2">
      <c r="A80"/>
      <c r="B80"/>
      <c r="C80"/>
      <c r="D80"/>
      <c r="E80"/>
      <c r="F80"/>
      <c r="G80"/>
    </row>
    <row r="81" spans="1:7" s="279" customFormat="1" ht="15" customHeight="1" x14ac:dyDescent="0.2">
      <c r="A81"/>
      <c r="B81"/>
      <c r="C81"/>
      <c r="D81"/>
      <c r="E81"/>
      <c r="F81"/>
      <c r="G81"/>
    </row>
    <row r="82" spans="1:7" s="279" customFormat="1" ht="15" customHeight="1" x14ac:dyDescent="0.2">
      <c r="A82"/>
      <c r="B82"/>
      <c r="C82"/>
      <c r="D82"/>
      <c r="E82"/>
      <c r="F82"/>
      <c r="G82"/>
    </row>
    <row r="83" spans="1:7" s="279" customFormat="1" ht="15" customHeight="1" x14ac:dyDescent="0.2">
      <c r="A83"/>
      <c r="B83"/>
      <c r="C83"/>
      <c r="D83"/>
      <c r="E83"/>
      <c r="F83"/>
      <c r="G83"/>
    </row>
    <row r="84" spans="1:7" s="279" customFormat="1" ht="15" customHeight="1" x14ac:dyDescent="0.2">
      <c r="A84"/>
      <c r="B84"/>
      <c r="C84"/>
      <c r="D84"/>
      <c r="E84"/>
      <c r="F84"/>
      <c r="G84"/>
    </row>
    <row r="85" spans="1:7" s="279" customFormat="1" ht="15" customHeight="1" x14ac:dyDescent="0.2">
      <c r="A85"/>
      <c r="B85"/>
      <c r="C85"/>
      <c r="D85"/>
      <c r="E85"/>
      <c r="F85"/>
      <c r="G85"/>
    </row>
    <row r="86" spans="1:7" s="279" customFormat="1" ht="15" customHeight="1" x14ac:dyDescent="0.2">
      <c r="A86"/>
      <c r="B86"/>
      <c r="C86"/>
      <c r="D86"/>
      <c r="E86"/>
      <c r="F86"/>
      <c r="G86"/>
    </row>
    <row r="87" spans="1:7" s="279" customFormat="1" ht="15" customHeight="1" x14ac:dyDescent="0.2">
      <c r="A87"/>
      <c r="B87"/>
      <c r="C87"/>
      <c r="D87"/>
      <c r="E87"/>
      <c r="F87"/>
      <c r="G87"/>
    </row>
    <row r="88" spans="1:7" s="279" customFormat="1" ht="15" customHeight="1" x14ac:dyDescent="0.2">
      <c r="A88"/>
      <c r="B88"/>
      <c r="C88"/>
      <c r="D88"/>
      <c r="E88"/>
      <c r="F88"/>
      <c r="G88"/>
    </row>
    <row r="89" spans="1:7" s="279" customFormat="1" ht="15" customHeight="1" x14ac:dyDescent="0.2">
      <c r="A89"/>
      <c r="B89"/>
      <c r="C89"/>
      <c r="D89"/>
      <c r="E89"/>
      <c r="F89"/>
      <c r="G89"/>
    </row>
    <row r="90" spans="1:7" s="279" customFormat="1" ht="15" customHeight="1" x14ac:dyDescent="0.2">
      <c r="A90"/>
      <c r="B90"/>
      <c r="C90"/>
      <c r="D90"/>
      <c r="E90"/>
      <c r="F90"/>
      <c r="G90"/>
    </row>
    <row r="91" spans="1:7" s="279" customFormat="1" ht="15" customHeight="1" x14ac:dyDescent="0.2">
      <c r="A91"/>
      <c r="B91"/>
      <c r="C91"/>
      <c r="D91"/>
      <c r="E91"/>
      <c r="F91"/>
      <c r="G91"/>
    </row>
    <row r="92" spans="1:7" s="279" customFormat="1" ht="15" customHeight="1" x14ac:dyDescent="0.2">
      <c r="A92"/>
      <c r="B92"/>
      <c r="C92"/>
      <c r="D92"/>
      <c r="E92"/>
      <c r="F92"/>
      <c r="G92"/>
    </row>
    <row r="93" spans="1:7" s="279" customFormat="1" ht="15" customHeight="1" x14ac:dyDescent="0.2">
      <c r="A93"/>
      <c r="B93"/>
      <c r="C93"/>
      <c r="D93"/>
      <c r="E93"/>
      <c r="F93"/>
      <c r="G93"/>
    </row>
    <row r="94" spans="1:7" s="279" customFormat="1" ht="15" customHeight="1" x14ac:dyDescent="0.2">
      <c r="A94"/>
      <c r="B94"/>
      <c r="C94"/>
      <c r="D94"/>
      <c r="E94"/>
      <c r="F94"/>
      <c r="G94"/>
    </row>
    <row r="95" spans="1:7" s="279" customFormat="1" ht="12.75" x14ac:dyDescent="0.2">
      <c r="A95"/>
      <c r="B95"/>
      <c r="C95"/>
      <c r="D95"/>
      <c r="E95"/>
      <c r="F95"/>
      <c r="G95"/>
    </row>
    <row r="96" spans="1:7" s="279" customFormat="1" ht="12.75" x14ac:dyDescent="0.2">
      <c r="A96"/>
      <c r="B96"/>
      <c r="C96"/>
      <c r="D96"/>
      <c r="E96"/>
      <c r="F96"/>
      <c r="G96"/>
    </row>
    <row r="97" spans="1:7" s="279" customFormat="1" ht="12.75" x14ac:dyDescent="0.2">
      <c r="A97"/>
      <c r="B97"/>
      <c r="C97"/>
      <c r="D97"/>
      <c r="E97"/>
      <c r="F97"/>
      <c r="G97"/>
    </row>
    <row r="98" spans="1:7" s="279" customFormat="1" ht="12.75" x14ac:dyDescent="0.2">
      <c r="A98"/>
      <c r="B98"/>
      <c r="C98"/>
      <c r="D98"/>
      <c r="E98"/>
      <c r="F98"/>
      <c r="G98"/>
    </row>
    <row r="99" spans="1:7" s="279" customFormat="1" ht="12.75" x14ac:dyDescent="0.2">
      <c r="A99"/>
      <c r="B99"/>
      <c r="C99"/>
      <c r="D99"/>
      <c r="E99"/>
      <c r="F99"/>
      <c r="G99"/>
    </row>
    <row r="100" spans="1:7" s="279" customFormat="1" ht="12.75" x14ac:dyDescent="0.2">
      <c r="A100"/>
      <c r="B100"/>
      <c r="C100"/>
      <c r="D100"/>
      <c r="E100"/>
      <c r="F100"/>
      <c r="G100"/>
    </row>
    <row r="101" spans="1:7" s="279" customFormat="1" ht="12.75" x14ac:dyDescent="0.2">
      <c r="A101"/>
      <c r="B101"/>
      <c r="C101"/>
      <c r="D101"/>
      <c r="E101"/>
      <c r="F101"/>
      <c r="G101"/>
    </row>
    <row r="102" spans="1:7" s="279" customFormat="1" ht="14.25" customHeight="1" x14ac:dyDescent="0.2">
      <c r="A102"/>
      <c r="B102"/>
      <c r="C102"/>
      <c r="D102"/>
      <c r="E102"/>
      <c r="F102"/>
      <c r="G102"/>
    </row>
    <row r="103" spans="1:7" s="279" customFormat="1" ht="14.25" customHeight="1" x14ac:dyDescent="0.2">
      <c r="A103"/>
      <c r="B103"/>
      <c r="C103"/>
      <c r="D103"/>
      <c r="E103"/>
      <c r="F103"/>
      <c r="G103"/>
    </row>
    <row r="104" spans="1:7" s="279" customFormat="1" ht="14.25" customHeight="1" x14ac:dyDescent="0.2">
      <c r="A104"/>
      <c r="B104"/>
      <c r="C104"/>
      <c r="D104"/>
      <c r="E104"/>
      <c r="F104"/>
      <c r="G104"/>
    </row>
    <row r="105" spans="1:7" s="279" customFormat="1" ht="14.25" customHeight="1" x14ac:dyDescent="0.2">
      <c r="A105"/>
      <c r="B105"/>
      <c r="C105"/>
      <c r="D105"/>
      <c r="E105"/>
      <c r="F105"/>
      <c r="G105"/>
    </row>
    <row r="106" spans="1:7" s="279" customFormat="1" ht="14.25" customHeight="1" x14ac:dyDescent="0.2">
      <c r="A106"/>
      <c r="B106"/>
      <c r="C106"/>
      <c r="D106"/>
      <c r="E106"/>
      <c r="F106"/>
      <c r="G106"/>
    </row>
    <row r="107" spans="1:7" s="279" customFormat="1" ht="14.25" customHeight="1" x14ac:dyDescent="0.2">
      <c r="A107"/>
      <c r="B107"/>
      <c r="C107"/>
      <c r="D107"/>
      <c r="E107"/>
      <c r="F107"/>
      <c r="G107"/>
    </row>
    <row r="108" spans="1:7" s="279" customFormat="1" ht="14.25" customHeight="1" x14ac:dyDescent="0.2">
      <c r="A108"/>
      <c r="B108"/>
      <c r="C108"/>
      <c r="D108"/>
      <c r="E108"/>
      <c r="F108"/>
      <c r="G108"/>
    </row>
    <row r="109" spans="1:7" s="279" customFormat="1" ht="14.25" customHeight="1" x14ac:dyDescent="0.2">
      <c r="A109"/>
      <c r="B109"/>
      <c r="C109"/>
      <c r="D109"/>
      <c r="E109"/>
      <c r="F109"/>
      <c r="G109"/>
    </row>
    <row r="110" spans="1:7" s="279" customFormat="1" ht="14.25" customHeight="1" x14ac:dyDescent="0.2">
      <c r="A110"/>
      <c r="B110"/>
      <c r="C110"/>
      <c r="D110"/>
      <c r="E110"/>
      <c r="F110"/>
      <c r="G110"/>
    </row>
    <row r="111" spans="1:7" s="279" customFormat="1" ht="14.25" customHeight="1" x14ac:dyDescent="0.2">
      <c r="A111"/>
      <c r="B111"/>
      <c r="C111"/>
      <c r="D111"/>
      <c r="E111"/>
      <c r="F111"/>
      <c r="G111"/>
    </row>
    <row r="112" spans="1:7" s="279" customFormat="1" ht="14.25" customHeight="1" x14ac:dyDescent="0.2">
      <c r="A112"/>
      <c r="B112"/>
      <c r="C112"/>
      <c r="D112"/>
      <c r="E112"/>
      <c r="F112"/>
      <c r="G112"/>
    </row>
    <row r="113" spans="1:7" s="279" customFormat="1" ht="14.25" customHeight="1" x14ac:dyDescent="0.2">
      <c r="A113"/>
      <c r="B113"/>
      <c r="C113"/>
      <c r="D113"/>
      <c r="E113"/>
      <c r="F113"/>
      <c r="G113"/>
    </row>
    <row r="114" spans="1:7" s="279" customFormat="1" ht="14.25" customHeight="1" x14ac:dyDescent="0.2">
      <c r="A114"/>
      <c r="B114"/>
      <c r="C114"/>
      <c r="D114"/>
      <c r="E114"/>
      <c r="F114"/>
      <c r="G114"/>
    </row>
    <row r="115" spans="1:7" s="279" customFormat="1" ht="14.25" customHeight="1" x14ac:dyDescent="0.2">
      <c r="A115"/>
      <c r="B115"/>
      <c r="C115"/>
      <c r="D115"/>
      <c r="E115"/>
      <c r="F115"/>
      <c r="G115"/>
    </row>
    <row r="116" spans="1:7" s="279" customFormat="1" ht="14.25" customHeight="1" x14ac:dyDescent="0.2">
      <c r="A116"/>
      <c r="B116"/>
      <c r="C116"/>
      <c r="D116"/>
      <c r="E116"/>
      <c r="F116"/>
      <c r="G116"/>
    </row>
    <row r="117" spans="1:7" s="279" customFormat="1" ht="14.25" customHeight="1" x14ac:dyDescent="0.2">
      <c r="A117"/>
      <c r="B117"/>
      <c r="C117"/>
      <c r="D117"/>
      <c r="E117"/>
      <c r="F117"/>
      <c r="G117"/>
    </row>
    <row r="118" spans="1:7" s="279" customFormat="1" ht="14.25" customHeight="1" x14ac:dyDescent="0.2">
      <c r="A118"/>
      <c r="B118"/>
      <c r="C118"/>
      <c r="D118"/>
      <c r="E118"/>
      <c r="F118"/>
      <c r="G118"/>
    </row>
    <row r="119" spans="1:7" s="279" customFormat="1" ht="14.25" customHeight="1" x14ac:dyDescent="0.2">
      <c r="A119"/>
      <c r="B119"/>
      <c r="C119"/>
      <c r="D119"/>
      <c r="E119"/>
      <c r="F119"/>
      <c r="G119"/>
    </row>
    <row r="120" spans="1:7" s="279" customFormat="1" ht="14.25" customHeight="1" x14ac:dyDescent="0.2">
      <c r="A120"/>
      <c r="B120"/>
      <c r="C120"/>
      <c r="D120"/>
      <c r="E120"/>
      <c r="F120"/>
      <c r="G120"/>
    </row>
    <row r="121" spans="1:7" s="279" customFormat="1" ht="14.25" customHeight="1" x14ac:dyDescent="0.2">
      <c r="A121"/>
      <c r="B121"/>
      <c r="C121"/>
      <c r="D121"/>
      <c r="E121"/>
      <c r="F121"/>
      <c r="G121"/>
    </row>
    <row r="122" spans="1:7" s="279" customFormat="1" ht="14.25" customHeight="1" x14ac:dyDescent="0.2">
      <c r="A122"/>
      <c r="B122"/>
      <c r="C122"/>
      <c r="D122"/>
      <c r="E122"/>
      <c r="F122"/>
      <c r="G122"/>
    </row>
    <row r="123" spans="1:7" s="279" customFormat="1" ht="14.25" customHeight="1" x14ac:dyDescent="0.2">
      <c r="A123"/>
      <c r="B123"/>
      <c r="C123"/>
      <c r="D123"/>
      <c r="E123"/>
      <c r="F123"/>
      <c r="G123"/>
    </row>
    <row r="124" spans="1:7" s="279" customFormat="1" ht="14.25" customHeight="1" x14ac:dyDescent="0.2">
      <c r="A124"/>
      <c r="B124"/>
      <c r="C124"/>
      <c r="D124"/>
      <c r="E124"/>
      <c r="F124"/>
      <c r="G124"/>
    </row>
    <row r="125" spans="1:7" s="279" customFormat="1" ht="14.25" customHeight="1" x14ac:dyDescent="0.2">
      <c r="A125"/>
      <c r="B125"/>
      <c r="C125"/>
      <c r="D125"/>
      <c r="E125"/>
      <c r="F125"/>
      <c r="G125"/>
    </row>
    <row r="126" spans="1:7" s="279" customFormat="1" ht="14.25" customHeight="1" x14ac:dyDescent="0.2">
      <c r="A126"/>
      <c r="B126"/>
      <c r="C126"/>
      <c r="D126"/>
      <c r="E126"/>
      <c r="F126"/>
      <c r="G126"/>
    </row>
    <row r="127" spans="1:7" s="279" customFormat="1" ht="14.25" customHeight="1" x14ac:dyDescent="0.2">
      <c r="A127"/>
      <c r="B127"/>
      <c r="C127"/>
      <c r="D127"/>
      <c r="E127"/>
      <c r="F127"/>
      <c r="G127"/>
    </row>
    <row r="128" spans="1:7" s="279" customFormat="1" ht="14.25" customHeight="1" x14ac:dyDescent="0.2">
      <c r="A128"/>
      <c r="B128"/>
      <c r="C128"/>
      <c r="D128"/>
      <c r="E128"/>
      <c r="F128"/>
      <c r="G128"/>
    </row>
    <row r="129" spans="1:7" s="279" customFormat="1" ht="14.25" customHeight="1" x14ac:dyDescent="0.2">
      <c r="A129"/>
      <c r="B129"/>
      <c r="C129"/>
      <c r="D129"/>
      <c r="E129"/>
      <c r="F129"/>
      <c r="G129"/>
    </row>
    <row r="130" spans="1:7" s="279" customFormat="1" ht="14.25" customHeight="1" x14ac:dyDescent="0.2">
      <c r="A130"/>
      <c r="B130"/>
      <c r="C130"/>
      <c r="D130"/>
      <c r="E130"/>
      <c r="F130"/>
      <c r="G130"/>
    </row>
    <row r="131" spans="1:7" s="279" customFormat="1" ht="14.25" customHeight="1" x14ac:dyDescent="0.2">
      <c r="A131"/>
      <c r="B131"/>
      <c r="C131"/>
      <c r="D131"/>
      <c r="E131"/>
      <c r="F131"/>
      <c r="G131"/>
    </row>
    <row r="132" spans="1:7" s="279" customFormat="1" ht="14.25" customHeight="1" x14ac:dyDescent="0.2">
      <c r="A132"/>
      <c r="B132"/>
      <c r="C132"/>
      <c r="D132"/>
      <c r="E132"/>
      <c r="F132"/>
      <c r="G132"/>
    </row>
    <row r="133" spans="1:7" s="279" customFormat="1" ht="14.25" customHeight="1" x14ac:dyDescent="0.2">
      <c r="A133"/>
      <c r="B133"/>
      <c r="C133"/>
      <c r="D133"/>
      <c r="E133"/>
      <c r="F133"/>
      <c r="G133"/>
    </row>
    <row r="134" spans="1:7" s="279" customFormat="1" ht="14.25" customHeight="1" x14ac:dyDescent="0.2">
      <c r="A134"/>
      <c r="B134"/>
      <c r="C134"/>
      <c r="D134"/>
      <c r="E134"/>
      <c r="F134"/>
      <c r="G134"/>
    </row>
    <row r="135" spans="1:7" s="279" customFormat="1" ht="14.25" customHeight="1" x14ac:dyDescent="0.2">
      <c r="A135"/>
      <c r="B135"/>
      <c r="C135"/>
      <c r="D135"/>
      <c r="E135"/>
      <c r="F135"/>
      <c r="G135"/>
    </row>
    <row r="136" spans="1:7" s="279" customFormat="1" ht="14.25" customHeight="1" x14ac:dyDescent="0.2">
      <c r="A136"/>
      <c r="B136"/>
      <c r="C136"/>
      <c r="D136"/>
      <c r="E136"/>
      <c r="F136"/>
      <c r="G136"/>
    </row>
    <row r="137" spans="1:7" s="279" customFormat="1" ht="14.25" customHeight="1" x14ac:dyDescent="0.2">
      <c r="A137"/>
      <c r="B137"/>
      <c r="C137"/>
      <c r="D137"/>
      <c r="E137"/>
      <c r="F137"/>
      <c r="G137"/>
    </row>
    <row r="138" spans="1:7" s="279" customFormat="1" ht="14.25" customHeight="1" x14ac:dyDescent="0.2">
      <c r="A138"/>
      <c r="B138"/>
      <c r="C138"/>
      <c r="D138"/>
      <c r="E138"/>
      <c r="F138"/>
      <c r="G138"/>
    </row>
    <row r="139" spans="1:7" s="279" customFormat="1" ht="14.25" customHeight="1" x14ac:dyDescent="0.2">
      <c r="A139"/>
      <c r="B139"/>
      <c r="C139"/>
      <c r="D139"/>
      <c r="E139"/>
      <c r="F139"/>
      <c r="G139"/>
    </row>
    <row r="140" spans="1:7" s="279" customFormat="1" ht="14.25" customHeight="1" x14ac:dyDescent="0.2">
      <c r="A140"/>
      <c r="B140"/>
      <c r="C140"/>
      <c r="D140"/>
      <c r="E140"/>
      <c r="F140"/>
      <c r="G140"/>
    </row>
    <row r="141" spans="1:7" s="279" customFormat="1" ht="14.25" customHeight="1" x14ac:dyDescent="0.2">
      <c r="A141"/>
      <c r="B141"/>
      <c r="C141"/>
      <c r="D141"/>
      <c r="E141"/>
      <c r="F141"/>
      <c r="G141"/>
    </row>
    <row r="142" spans="1:7" s="279" customFormat="1" ht="14.25" customHeight="1" x14ac:dyDescent="0.2">
      <c r="A142"/>
      <c r="B142"/>
      <c r="C142"/>
      <c r="D142"/>
      <c r="E142"/>
      <c r="F142"/>
      <c r="G142"/>
    </row>
    <row r="143" spans="1:7" s="279" customFormat="1" ht="14.25" customHeight="1" x14ac:dyDescent="0.2">
      <c r="A143"/>
      <c r="B143"/>
      <c r="C143"/>
      <c r="D143"/>
      <c r="E143"/>
      <c r="F143"/>
      <c r="G143"/>
    </row>
    <row r="144" spans="1:7" s="279" customFormat="1" ht="14.25" customHeight="1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&amp;LStatistiques mensuelles
&amp;Rpage 35</oddFooter>
  </headerFooter>
  <rowBreaks count="1" manualBreakCount="1">
    <brk id="60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topLeftCell="A46" zoomScaleNormal="100" workbookViewId="0">
      <selection activeCell="E74" sqref="E74"/>
    </sheetView>
  </sheetViews>
  <sheetFormatPr baseColWidth="10" defaultRowHeight="12.75" x14ac:dyDescent="0.2"/>
  <cols>
    <col min="1" max="1" width="9.7109375" style="281" customWidth="1"/>
    <col min="2" max="2" width="5.7109375" style="281" customWidth="1"/>
    <col min="3" max="3" width="23.7109375" style="281" customWidth="1"/>
    <col min="4" max="4" width="14.140625" style="281" customWidth="1"/>
    <col min="5" max="6" width="14" style="281" customWidth="1"/>
    <col min="7" max="7" width="13.7109375" style="281" customWidth="1"/>
    <col min="8" max="8" width="11.42578125" style="281" customWidth="1"/>
    <col min="9" max="9" width="11.140625" style="281" customWidth="1"/>
    <col min="10" max="16384" width="11.42578125" style="281"/>
  </cols>
  <sheetData>
    <row r="1" spans="1:7" ht="18.75" x14ac:dyDescent="0.2">
      <c r="A1" s="99"/>
      <c r="B1" s="61" t="s">
        <v>98</v>
      </c>
      <c r="C1" s="61"/>
      <c r="D1" s="61"/>
      <c r="E1" s="61"/>
      <c r="F1" s="61"/>
      <c r="G1" s="61"/>
    </row>
    <row r="2" spans="1:7" ht="18.75" x14ac:dyDescent="0.2">
      <c r="A2" s="99"/>
      <c r="B2" s="61" t="s">
        <v>221</v>
      </c>
      <c r="C2" s="61"/>
      <c r="D2" s="61"/>
      <c r="E2" s="61"/>
      <c r="F2" s="61"/>
      <c r="G2" s="61"/>
    </row>
    <row r="3" spans="1:7" ht="7.5" customHeight="1" x14ac:dyDescent="0.2">
      <c r="A3" s="99"/>
      <c r="B3" s="253"/>
      <c r="C3" s="253"/>
      <c r="D3" s="61"/>
      <c r="E3" s="61"/>
      <c r="F3" s="61"/>
      <c r="G3" s="61"/>
    </row>
    <row r="4" spans="1:7" ht="15" x14ac:dyDescent="0.2">
      <c r="A4" s="128" t="s">
        <v>129</v>
      </c>
      <c r="B4" s="129" t="s">
        <v>130</v>
      </c>
      <c r="C4" s="129"/>
      <c r="D4" s="66"/>
      <c r="E4" s="66"/>
      <c r="F4" s="66"/>
      <c r="G4" s="66"/>
    </row>
    <row r="5" spans="1:7" ht="15" x14ac:dyDescent="0.2">
      <c r="A5" s="128" t="s">
        <v>131</v>
      </c>
      <c r="B5" s="132" t="str">
        <f>couverture!D15</f>
        <v xml:space="preserve">1er juillet 2014 </v>
      </c>
      <c r="C5" s="70"/>
      <c r="D5" s="70"/>
      <c r="E5" s="70"/>
      <c r="F5" s="70"/>
      <c r="G5" s="70"/>
    </row>
    <row r="6" spans="1:7" ht="15" x14ac:dyDescent="0.2">
      <c r="A6" s="131" t="s">
        <v>132</v>
      </c>
      <c r="B6" s="69" t="s">
        <v>133</v>
      </c>
      <c r="C6" s="70"/>
      <c r="D6" s="70"/>
      <c r="E6" s="70"/>
      <c r="F6" s="70"/>
      <c r="G6" s="70"/>
    </row>
    <row r="7" spans="1:7" ht="8.25" customHeight="1" x14ac:dyDescent="0.2">
      <c r="A7" s="102"/>
      <c r="B7" s="66"/>
      <c r="C7" s="66"/>
      <c r="D7" s="66"/>
      <c r="E7" s="66"/>
      <c r="F7" s="66"/>
      <c r="G7" s="66"/>
    </row>
    <row r="8" spans="1:7" ht="36" x14ac:dyDescent="0.2">
      <c r="A8" s="279"/>
      <c r="B8" s="487" t="s">
        <v>216</v>
      </c>
      <c r="C8" s="488"/>
      <c r="D8" s="295" t="s">
        <v>209</v>
      </c>
      <c r="E8" s="295" t="s">
        <v>217</v>
      </c>
      <c r="F8" s="295" t="s">
        <v>218</v>
      </c>
      <c r="G8" s="295" t="s">
        <v>219</v>
      </c>
    </row>
    <row r="9" spans="1:7" ht="15" customHeight="1" x14ac:dyDescent="0.2">
      <c r="A9" s="279"/>
      <c r="B9" s="296" t="s">
        <v>294</v>
      </c>
      <c r="C9" s="297" t="s">
        <v>305</v>
      </c>
      <c r="D9" s="298">
        <v>6</v>
      </c>
      <c r="E9" s="298">
        <v>0</v>
      </c>
      <c r="F9" s="298">
        <v>7</v>
      </c>
      <c r="G9" s="299">
        <f t="shared" ref="G9:G40" si="0">IF(F9=0,"-",(D9+E9)/F9)</f>
        <v>0.8571428571428571</v>
      </c>
    </row>
    <row r="10" spans="1:7" ht="15" customHeight="1" x14ac:dyDescent="0.2">
      <c r="A10"/>
      <c r="B10" s="300" t="s">
        <v>295</v>
      </c>
      <c r="C10" s="292" t="s">
        <v>315</v>
      </c>
      <c r="D10" s="293">
        <v>17</v>
      </c>
      <c r="E10" s="293">
        <v>0</v>
      </c>
      <c r="F10" s="293">
        <v>23</v>
      </c>
      <c r="G10" s="294">
        <f t="shared" si="0"/>
        <v>0.73913043478260865</v>
      </c>
    </row>
    <row r="11" spans="1:7" ht="15" customHeight="1" x14ac:dyDescent="0.2">
      <c r="A11"/>
      <c r="B11" s="300" t="s">
        <v>294</v>
      </c>
      <c r="C11" s="292" t="s">
        <v>308</v>
      </c>
      <c r="D11" s="293">
        <v>8</v>
      </c>
      <c r="E11" s="293">
        <v>0</v>
      </c>
      <c r="F11" s="293">
        <v>12</v>
      </c>
      <c r="G11" s="294">
        <f t="shared" si="0"/>
        <v>0.66666666666666663</v>
      </c>
    </row>
    <row r="12" spans="1:7" ht="15" customHeight="1" x14ac:dyDescent="0.2">
      <c r="A12"/>
      <c r="B12" s="300" t="s">
        <v>294</v>
      </c>
      <c r="C12" s="292" t="s">
        <v>310</v>
      </c>
      <c r="D12" s="293">
        <v>5</v>
      </c>
      <c r="E12" s="293">
        <v>0</v>
      </c>
      <c r="F12" s="293">
        <v>10</v>
      </c>
      <c r="G12" s="294">
        <f t="shared" si="0"/>
        <v>0.5</v>
      </c>
    </row>
    <row r="13" spans="1:7" ht="15" customHeight="1" x14ac:dyDescent="0.2">
      <c r="A13"/>
      <c r="B13" s="246" t="s">
        <v>528</v>
      </c>
      <c r="C13" s="305"/>
      <c r="D13" s="306">
        <v>36</v>
      </c>
      <c r="E13" s="306">
        <v>0</v>
      </c>
      <c r="F13" s="306">
        <v>52</v>
      </c>
      <c r="G13" s="307">
        <f t="shared" si="0"/>
        <v>0.69230769230769229</v>
      </c>
    </row>
    <row r="14" spans="1:7" ht="15" customHeight="1" x14ac:dyDescent="0.2">
      <c r="A14"/>
      <c r="B14" s="301" t="s">
        <v>294</v>
      </c>
      <c r="C14" s="302" t="s">
        <v>328</v>
      </c>
      <c r="D14" s="303">
        <v>3</v>
      </c>
      <c r="E14" s="303">
        <v>0</v>
      </c>
      <c r="F14" s="303">
        <v>4</v>
      </c>
      <c r="G14" s="304">
        <f t="shared" si="0"/>
        <v>0.75</v>
      </c>
    </row>
    <row r="15" spans="1:7" ht="15" customHeight="1" x14ac:dyDescent="0.2">
      <c r="A15"/>
      <c r="B15" s="300" t="s">
        <v>294</v>
      </c>
      <c r="C15" s="292" t="s">
        <v>332</v>
      </c>
      <c r="D15" s="293">
        <v>4</v>
      </c>
      <c r="E15" s="293">
        <v>0</v>
      </c>
      <c r="F15" s="293">
        <v>10</v>
      </c>
      <c r="G15" s="294">
        <f t="shared" si="0"/>
        <v>0.4</v>
      </c>
    </row>
    <row r="16" spans="1:7" ht="15" customHeight="1" x14ac:dyDescent="0.2">
      <c r="A16"/>
      <c r="B16" s="300" t="s">
        <v>294</v>
      </c>
      <c r="C16" s="292" t="s">
        <v>201</v>
      </c>
      <c r="D16" s="293">
        <v>4</v>
      </c>
      <c r="E16" s="293">
        <v>0</v>
      </c>
      <c r="F16" s="293">
        <v>11</v>
      </c>
      <c r="G16" s="294">
        <f t="shared" si="0"/>
        <v>0.36363636363636365</v>
      </c>
    </row>
    <row r="17" spans="1:7" ht="15" customHeight="1" x14ac:dyDescent="0.2">
      <c r="A17"/>
      <c r="B17" s="300" t="s">
        <v>294</v>
      </c>
      <c r="C17" s="292" t="s">
        <v>334</v>
      </c>
      <c r="D17" s="293">
        <v>3</v>
      </c>
      <c r="E17" s="293">
        <v>0</v>
      </c>
      <c r="F17" s="293">
        <v>6</v>
      </c>
      <c r="G17" s="294">
        <f t="shared" si="0"/>
        <v>0.5</v>
      </c>
    </row>
    <row r="18" spans="1:7" ht="15" customHeight="1" x14ac:dyDescent="0.2">
      <c r="A18"/>
      <c r="B18" s="300" t="s">
        <v>294</v>
      </c>
      <c r="C18" s="292" t="s">
        <v>335</v>
      </c>
      <c r="D18" s="293">
        <v>8</v>
      </c>
      <c r="E18" s="293">
        <v>0</v>
      </c>
      <c r="F18" s="293">
        <v>10</v>
      </c>
      <c r="G18" s="294">
        <f t="shared" si="0"/>
        <v>0.8</v>
      </c>
    </row>
    <row r="19" spans="1:7" ht="15" customHeight="1" x14ac:dyDescent="0.2">
      <c r="A19"/>
      <c r="B19" s="300" t="s">
        <v>294</v>
      </c>
      <c r="C19" s="292" t="s">
        <v>336</v>
      </c>
      <c r="D19" s="293">
        <v>7</v>
      </c>
      <c r="E19" s="293">
        <v>0</v>
      </c>
      <c r="F19" s="293">
        <v>10</v>
      </c>
      <c r="G19" s="294">
        <f t="shared" si="0"/>
        <v>0.7</v>
      </c>
    </row>
    <row r="20" spans="1:7" ht="15" customHeight="1" x14ac:dyDescent="0.2">
      <c r="A20"/>
      <c r="B20" s="300" t="s">
        <v>295</v>
      </c>
      <c r="C20" s="292" t="s">
        <v>339</v>
      </c>
      <c r="D20" s="293">
        <v>5</v>
      </c>
      <c r="E20" s="293">
        <v>0</v>
      </c>
      <c r="F20" s="293">
        <v>15</v>
      </c>
      <c r="G20" s="294">
        <f t="shared" si="0"/>
        <v>0.33333333333333331</v>
      </c>
    </row>
    <row r="21" spans="1:7" ht="15" customHeight="1" x14ac:dyDescent="0.2">
      <c r="A21"/>
      <c r="B21" s="246" t="s">
        <v>529</v>
      </c>
      <c r="C21" s="305"/>
      <c r="D21" s="306">
        <v>34</v>
      </c>
      <c r="E21" s="306">
        <v>0</v>
      </c>
      <c r="F21" s="306">
        <v>66</v>
      </c>
      <c r="G21" s="307">
        <f t="shared" si="0"/>
        <v>0.51515151515151514</v>
      </c>
    </row>
    <row r="22" spans="1:7" ht="15" customHeight="1" x14ac:dyDescent="0.2">
      <c r="A22"/>
      <c r="B22" s="301" t="s">
        <v>295</v>
      </c>
      <c r="C22" s="302" t="s">
        <v>359</v>
      </c>
      <c r="D22" s="303">
        <v>10</v>
      </c>
      <c r="E22" s="303">
        <v>0</v>
      </c>
      <c r="F22" s="303">
        <v>15</v>
      </c>
      <c r="G22" s="304">
        <f t="shared" si="0"/>
        <v>0.66666666666666663</v>
      </c>
    </row>
    <row r="23" spans="1:7" ht="15" customHeight="1" x14ac:dyDescent="0.2">
      <c r="A23"/>
      <c r="B23" s="300" t="s">
        <v>295</v>
      </c>
      <c r="C23" s="292" t="s">
        <v>360</v>
      </c>
      <c r="D23" s="293">
        <v>8</v>
      </c>
      <c r="E23" s="293">
        <v>0</v>
      </c>
      <c r="F23" s="293">
        <v>15</v>
      </c>
      <c r="G23" s="294">
        <f t="shared" si="0"/>
        <v>0.53333333333333333</v>
      </c>
    </row>
    <row r="24" spans="1:7" ht="15" customHeight="1" x14ac:dyDescent="0.2">
      <c r="A24"/>
      <c r="B24" s="300" t="s">
        <v>295</v>
      </c>
      <c r="C24" s="292" t="s">
        <v>361</v>
      </c>
      <c r="D24" s="293">
        <v>19</v>
      </c>
      <c r="E24" s="293">
        <v>0</v>
      </c>
      <c r="F24" s="293">
        <v>20</v>
      </c>
      <c r="G24" s="294">
        <f t="shared" si="0"/>
        <v>0.95</v>
      </c>
    </row>
    <row r="25" spans="1:7" ht="15" customHeight="1" x14ac:dyDescent="0.2">
      <c r="A25"/>
      <c r="B25" s="300" t="s">
        <v>295</v>
      </c>
      <c r="C25" s="292" t="s">
        <v>363</v>
      </c>
      <c r="D25" s="293">
        <v>13</v>
      </c>
      <c r="E25" s="293">
        <v>0</v>
      </c>
      <c r="F25" s="293">
        <v>22</v>
      </c>
      <c r="G25" s="294">
        <f t="shared" si="0"/>
        <v>0.59090909090909094</v>
      </c>
    </row>
    <row r="26" spans="1:7" ht="15" customHeight="1" x14ac:dyDescent="0.2">
      <c r="A26"/>
      <c r="B26" s="300" t="s">
        <v>178</v>
      </c>
      <c r="C26" s="292" t="s">
        <v>370</v>
      </c>
      <c r="D26" s="293">
        <v>51</v>
      </c>
      <c r="E26" s="293">
        <v>0</v>
      </c>
      <c r="F26" s="293">
        <v>60</v>
      </c>
      <c r="G26" s="294">
        <f t="shared" si="0"/>
        <v>0.85</v>
      </c>
    </row>
    <row r="27" spans="1:7" ht="15" customHeight="1" x14ac:dyDescent="0.2">
      <c r="A27"/>
      <c r="B27" s="300" t="s">
        <v>294</v>
      </c>
      <c r="C27" s="292" t="s">
        <v>357</v>
      </c>
      <c r="D27" s="293">
        <v>13</v>
      </c>
      <c r="E27" s="293">
        <v>0</v>
      </c>
      <c r="F27" s="293">
        <v>32</v>
      </c>
      <c r="G27" s="294">
        <f t="shared" si="0"/>
        <v>0.40625</v>
      </c>
    </row>
    <row r="28" spans="1:7" ht="15" customHeight="1" x14ac:dyDescent="0.2">
      <c r="A28"/>
      <c r="B28" s="246" t="s">
        <v>530</v>
      </c>
      <c r="C28" s="305"/>
      <c r="D28" s="306">
        <v>114</v>
      </c>
      <c r="E28" s="306">
        <v>0</v>
      </c>
      <c r="F28" s="306">
        <v>164</v>
      </c>
      <c r="G28" s="307">
        <f t="shared" si="0"/>
        <v>0.69512195121951215</v>
      </c>
    </row>
    <row r="29" spans="1:7" ht="15" customHeight="1" x14ac:dyDescent="0.2">
      <c r="A29"/>
      <c r="B29" s="301" t="s">
        <v>294</v>
      </c>
      <c r="C29" s="302" t="s">
        <v>374</v>
      </c>
      <c r="D29" s="303">
        <v>7</v>
      </c>
      <c r="E29" s="303">
        <v>0</v>
      </c>
      <c r="F29" s="303">
        <v>18</v>
      </c>
      <c r="G29" s="304">
        <f t="shared" si="0"/>
        <v>0.3888888888888889</v>
      </c>
    </row>
    <row r="30" spans="1:7" ht="15" customHeight="1" x14ac:dyDescent="0.2">
      <c r="A30"/>
      <c r="B30" s="300" t="s">
        <v>294</v>
      </c>
      <c r="C30" s="292" t="s">
        <v>377</v>
      </c>
      <c r="D30" s="293">
        <v>11</v>
      </c>
      <c r="E30" s="293">
        <v>0</v>
      </c>
      <c r="F30" s="293">
        <v>20</v>
      </c>
      <c r="G30" s="294">
        <f t="shared" si="0"/>
        <v>0.55000000000000004</v>
      </c>
    </row>
    <row r="31" spans="1:7" ht="15" customHeight="1" x14ac:dyDescent="0.2">
      <c r="A31"/>
      <c r="B31" s="300" t="s">
        <v>295</v>
      </c>
      <c r="C31" s="292" t="s">
        <v>388</v>
      </c>
      <c r="D31" s="293">
        <v>3</v>
      </c>
      <c r="E31" s="293">
        <v>0</v>
      </c>
      <c r="F31" s="293">
        <v>8</v>
      </c>
      <c r="G31" s="294">
        <f t="shared" si="0"/>
        <v>0.375</v>
      </c>
    </row>
    <row r="32" spans="1:7" ht="15" customHeight="1" x14ac:dyDescent="0.2">
      <c r="A32"/>
      <c r="B32" s="300" t="s">
        <v>178</v>
      </c>
      <c r="C32" s="292" t="s">
        <v>391</v>
      </c>
      <c r="D32" s="293">
        <v>32</v>
      </c>
      <c r="E32" s="293">
        <v>0</v>
      </c>
      <c r="F32" s="293">
        <v>60</v>
      </c>
      <c r="G32" s="294">
        <f t="shared" si="0"/>
        <v>0.53333333333333333</v>
      </c>
    </row>
    <row r="33" spans="1:7" ht="15" customHeight="1" x14ac:dyDescent="0.2">
      <c r="A33"/>
      <c r="B33" s="246" t="s">
        <v>531</v>
      </c>
      <c r="C33" s="305"/>
      <c r="D33" s="306">
        <v>53</v>
      </c>
      <c r="E33" s="306">
        <v>0</v>
      </c>
      <c r="F33" s="306">
        <v>106</v>
      </c>
      <c r="G33" s="307">
        <f t="shared" si="0"/>
        <v>0.5</v>
      </c>
    </row>
    <row r="34" spans="1:7" ht="15" customHeight="1" x14ac:dyDescent="0.2">
      <c r="A34"/>
      <c r="B34" s="301" t="s">
        <v>295</v>
      </c>
      <c r="C34" s="302" t="s">
        <v>399</v>
      </c>
      <c r="D34" s="303">
        <v>15</v>
      </c>
      <c r="E34" s="303">
        <v>0</v>
      </c>
      <c r="F34" s="303">
        <v>20</v>
      </c>
      <c r="G34" s="304">
        <f t="shared" si="0"/>
        <v>0.75</v>
      </c>
    </row>
    <row r="35" spans="1:7" ht="15" customHeight="1" x14ac:dyDescent="0.2">
      <c r="A35"/>
      <c r="B35" s="300" t="s">
        <v>295</v>
      </c>
      <c r="C35" s="292" t="s">
        <v>400</v>
      </c>
      <c r="D35" s="293">
        <v>1</v>
      </c>
      <c r="E35" s="293">
        <v>0</v>
      </c>
      <c r="F35" s="293">
        <v>4</v>
      </c>
      <c r="G35" s="294">
        <f t="shared" si="0"/>
        <v>0.25</v>
      </c>
    </row>
    <row r="36" spans="1:7" ht="15" customHeight="1" x14ac:dyDescent="0.2">
      <c r="A36"/>
      <c r="B36" s="300" t="s">
        <v>294</v>
      </c>
      <c r="C36" s="292" t="s">
        <v>396</v>
      </c>
      <c r="D36" s="293">
        <v>33</v>
      </c>
      <c r="E36" s="293">
        <v>0</v>
      </c>
      <c r="F36" s="293">
        <v>31</v>
      </c>
      <c r="G36" s="294">
        <f t="shared" si="0"/>
        <v>1.064516129032258</v>
      </c>
    </row>
    <row r="37" spans="1:7" ht="15" customHeight="1" x14ac:dyDescent="0.2">
      <c r="A37"/>
      <c r="B37" s="300" t="s">
        <v>178</v>
      </c>
      <c r="C37" s="292" t="s">
        <v>204</v>
      </c>
      <c r="D37" s="293">
        <v>59</v>
      </c>
      <c r="E37" s="293">
        <v>0</v>
      </c>
      <c r="F37" s="293">
        <v>59</v>
      </c>
      <c r="G37" s="294">
        <f t="shared" si="0"/>
        <v>1</v>
      </c>
    </row>
    <row r="38" spans="1:7" ht="15" customHeight="1" x14ac:dyDescent="0.2">
      <c r="A38"/>
      <c r="B38" s="300" t="s">
        <v>295</v>
      </c>
      <c r="C38" s="292" t="s">
        <v>539</v>
      </c>
      <c r="D38" s="293">
        <v>6</v>
      </c>
      <c r="E38" s="293">
        <v>0</v>
      </c>
      <c r="F38" s="293">
        <v>5</v>
      </c>
      <c r="G38" s="294">
        <f t="shared" si="0"/>
        <v>1.2</v>
      </c>
    </row>
    <row r="39" spans="1:7" ht="15" customHeight="1" x14ac:dyDescent="0.2">
      <c r="A39"/>
      <c r="B39" s="246" t="s">
        <v>532</v>
      </c>
      <c r="C39" s="305"/>
      <c r="D39" s="306">
        <v>114</v>
      </c>
      <c r="E39" s="306">
        <v>0</v>
      </c>
      <c r="F39" s="306">
        <v>119</v>
      </c>
      <c r="G39" s="307">
        <f t="shared" si="0"/>
        <v>0.95798319327731096</v>
      </c>
    </row>
    <row r="40" spans="1:7" ht="15" customHeight="1" x14ac:dyDescent="0.2">
      <c r="A40"/>
      <c r="B40" s="301" t="s">
        <v>294</v>
      </c>
      <c r="C40" s="302" t="s">
        <v>409</v>
      </c>
      <c r="D40" s="303">
        <v>103</v>
      </c>
      <c r="E40" s="303">
        <v>0</v>
      </c>
      <c r="F40" s="303">
        <v>94</v>
      </c>
      <c r="G40" s="304">
        <f t="shared" si="0"/>
        <v>1.0957446808510638</v>
      </c>
    </row>
    <row r="41" spans="1:7" ht="15" customHeight="1" x14ac:dyDescent="0.2">
      <c r="A41"/>
      <c r="B41" s="300" t="s">
        <v>295</v>
      </c>
      <c r="C41" s="292" t="s">
        <v>540</v>
      </c>
      <c r="D41" s="293">
        <v>0</v>
      </c>
      <c r="E41" s="293">
        <v>0</v>
      </c>
      <c r="F41" s="293">
        <v>0</v>
      </c>
      <c r="G41" s="294" t="str">
        <f t="shared" ref="G41:G72" si="1">IF(F41=0,"-",(D41+E41)/F41)</f>
        <v>-</v>
      </c>
    </row>
    <row r="42" spans="1:7" ht="15" customHeight="1" x14ac:dyDescent="0.2">
      <c r="A42"/>
      <c r="B42" s="300" t="s">
        <v>294</v>
      </c>
      <c r="C42" s="292" t="s">
        <v>410</v>
      </c>
      <c r="D42" s="293">
        <v>23</v>
      </c>
      <c r="E42" s="293">
        <v>0</v>
      </c>
      <c r="F42" s="293">
        <v>18</v>
      </c>
      <c r="G42" s="294">
        <f t="shared" si="1"/>
        <v>1.2777777777777777</v>
      </c>
    </row>
    <row r="43" spans="1:7" ht="15" customHeight="1" x14ac:dyDescent="0.2">
      <c r="A43"/>
      <c r="B43" s="300" t="s">
        <v>178</v>
      </c>
      <c r="C43" s="292" t="s">
        <v>423</v>
      </c>
      <c r="D43" s="293">
        <v>54</v>
      </c>
      <c r="E43" s="293">
        <v>0</v>
      </c>
      <c r="F43" s="293">
        <v>60</v>
      </c>
      <c r="G43" s="294">
        <f t="shared" si="1"/>
        <v>0.9</v>
      </c>
    </row>
    <row r="44" spans="1:7" ht="15" customHeight="1" x14ac:dyDescent="0.2">
      <c r="A44"/>
      <c r="B44" s="300" t="s">
        <v>294</v>
      </c>
      <c r="C44" s="292" t="s">
        <v>541</v>
      </c>
      <c r="D44" s="293">
        <v>0</v>
      </c>
      <c r="E44" s="293">
        <v>0</v>
      </c>
      <c r="F44" s="293">
        <v>0</v>
      </c>
      <c r="G44" s="294" t="str">
        <f t="shared" si="1"/>
        <v>-</v>
      </c>
    </row>
    <row r="45" spans="1:7" ht="15" customHeight="1" x14ac:dyDescent="0.2">
      <c r="A45"/>
      <c r="B45" s="300" t="s">
        <v>294</v>
      </c>
      <c r="C45" s="292" t="s">
        <v>414</v>
      </c>
      <c r="D45" s="293">
        <v>39</v>
      </c>
      <c r="E45" s="293">
        <v>0</v>
      </c>
      <c r="F45" s="293">
        <v>40</v>
      </c>
      <c r="G45" s="294">
        <f t="shared" si="1"/>
        <v>0.97499999999999998</v>
      </c>
    </row>
    <row r="46" spans="1:7" ht="15" customHeight="1" x14ac:dyDescent="0.2">
      <c r="A46"/>
      <c r="B46" s="246" t="s">
        <v>533</v>
      </c>
      <c r="C46" s="305"/>
      <c r="D46" s="306">
        <v>219</v>
      </c>
      <c r="E46" s="306">
        <v>0</v>
      </c>
      <c r="F46" s="306">
        <v>212</v>
      </c>
      <c r="G46" s="307">
        <f t="shared" si="1"/>
        <v>1.0330188679245282</v>
      </c>
    </row>
    <row r="47" spans="1:7" ht="15" customHeight="1" x14ac:dyDescent="0.2">
      <c r="A47"/>
      <c r="B47" s="301" t="s">
        <v>294</v>
      </c>
      <c r="C47" s="302" t="s">
        <v>426</v>
      </c>
      <c r="D47" s="303">
        <v>6</v>
      </c>
      <c r="E47" s="303">
        <v>0</v>
      </c>
      <c r="F47" s="303">
        <v>10</v>
      </c>
      <c r="G47" s="304">
        <f t="shared" si="1"/>
        <v>0.6</v>
      </c>
    </row>
    <row r="48" spans="1:7" ht="15" customHeight="1" x14ac:dyDescent="0.2">
      <c r="A48"/>
      <c r="B48" s="300" t="s">
        <v>294</v>
      </c>
      <c r="C48" s="292" t="s">
        <v>427</v>
      </c>
      <c r="D48" s="293">
        <v>6</v>
      </c>
      <c r="E48" s="293">
        <v>0</v>
      </c>
      <c r="F48" s="293">
        <v>10</v>
      </c>
      <c r="G48" s="294">
        <f t="shared" si="1"/>
        <v>0.6</v>
      </c>
    </row>
    <row r="49" spans="1:7" ht="15" customHeight="1" x14ac:dyDescent="0.2">
      <c r="A49"/>
      <c r="B49" s="300" t="s">
        <v>178</v>
      </c>
      <c r="C49" s="292" t="s">
        <v>442</v>
      </c>
      <c r="D49" s="293">
        <v>39</v>
      </c>
      <c r="E49" s="293">
        <v>0</v>
      </c>
      <c r="F49" s="293">
        <v>55</v>
      </c>
      <c r="G49" s="294">
        <f t="shared" si="1"/>
        <v>0.70909090909090911</v>
      </c>
    </row>
    <row r="50" spans="1:7" ht="15" customHeight="1" x14ac:dyDescent="0.2">
      <c r="A50"/>
      <c r="B50" s="300" t="s">
        <v>295</v>
      </c>
      <c r="C50" s="292" t="s">
        <v>206</v>
      </c>
      <c r="D50" s="293">
        <v>3</v>
      </c>
      <c r="E50" s="293">
        <v>0</v>
      </c>
      <c r="F50" s="293">
        <v>3</v>
      </c>
      <c r="G50" s="294">
        <f t="shared" si="1"/>
        <v>1</v>
      </c>
    </row>
    <row r="51" spans="1:7" ht="15" customHeight="1" x14ac:dyDescent="0.2">
      <c r="A51"/>
      <c r="B51" s="246" t="s">
        <v>534</v>
      </c>
      <c r="C51" s="305"/>
      <c r="D51" s="306">
        <v>54</v>
      </c>
      <c r="E51" s="306">
        <v>0</v>
      </c>
      <c r="F51" s="306">
        <v>78</v>
      </c>
      <c r="G51" s="307">
        <f t="shared" si="1"/>
        <v>0.69230769230769229</v>
      </c>
    </row>
    <row r="52" spans="1:7" ht="15" customHeight="1" x14ac:dyDescent="0.2">
      <c r="A52"/>
      <c r="B52" s="301" t="s">
        <v>325</v>
      </c>
      <c r="C52" s="302" t="s">
        <v>446</v>
      </c>
      <c r="D52" s="303">
        <v>0</v>
      </c>
      <c r="E52" s="303">
        <v>0</v>
      </c>
      <c r="F52" s="303">
        <v>1</v>
      </c>
      <c r="G52" s="304">
        <f t="shared" si="1"/>
        <v>0</v>
      </c>
    </row>
    <row r="53" spans="1:7" ht="15" customHeight="1" x14ac:dyDescent="0.2">
      <c r="A53"/>
      <c r="B53" s="300" t="s">
        <v>294</v>
      </c>
      <c r="C53" s="292" t="s">
        <v>448</v>
      </c>
      <c r="D53" s="293">
        <v>8</v>
      </c>
      <c r="E53" s="293">
        <v>0</v>
      </c>
      <c r="F53" s="293">
        <v>14</v>
      </c>
      <c r="G53" s="294">
        <f t="shared" si="1"/>
        <v>0.5714285714285714</v>
      </c>
    </row>
    <row r="54" spans="1:7" ht="15" customHeight="1" x14ac:dyDescent="0.2">
      <c r="A54"/>
      <c r="B54" s="300" t="s">
        <v>325</v>
      </c>
      <c r="C54" s="292" t="s">
        <v>464</v>
      </c>
      <c r="D54" s="293">
        <v>0</v>
      </c>
      <c r="E54" s="293">
        <v>0</v>
      </c>
      <c r="F54" s="293">
        <v>2</v>
      </c>
      <c r="G54" s="294">
        <f t="shared" si="1"/>
        <v>0</v>
      </c>
    </row>
    <row r="55" spans="1:7" ht="15" customHeight="1" x14ac:dyDescent="0.2">
      <c r="A55"/>
      <c r="B55" s="300" t="s">
        <v>295</v>
      </c>
      <c r="C55" s="292" t="s">
        <v>455</v>
      </c>
      <c r="D55" s="293">
        <v>5</v>
      </c>
      <c r="E55" s="293">
        <v>0</v>
      </c>
      <c r="F55" s="293">
        <v>14</v>
      </c>
      <c r="G55" s="294">
        <f t="shared" si="1"/>
        <v>0.35714285714285715</v>
      </c>
    </row>
    <row r="56" spans="1:7" ht="15" customHeight="1" x14ac:dyDescent="0.2">
      <c r="A56"/>
      <c r="B56" s="300" t="s">
        <v>294</v>
      </c>
      <c r="C56" s="292" t="s">
        <v>452</v>
      </c>
      <c r="D56" s="293">
        <v>9</v>
      </c>
      <c r="E56" s="293">
        <v>0</v>
      </c>
      <c r="F56" s="293">
        <v>20</v>
      </c>
      <c r="G56" s="294">
        <f t="shared" si="1"/>
        <v>0.45</v>
      </c>
    </row>
    <row r="57" spans="1:7" ht="15" customHeight="1" x14ac:dyDescent="0.2">
      <c r="A57"/>
      <c r="B57" s="300" t="s">
        <v>325</v>
      </c>
      <c r="C57" s="292" t="s">
        <v>465</v>
      </c>
      <c r="D57" s="293">
        <v>0</v>
      </c>
      <c r="E57" s="293">
        <v>0</v>
      </c>
      <c r="F57" s="293">
        <v>2</v>
      </c>
      <c r="G57" s="294">
        <f t="shared" si="1"/>
        <v>0</v>
      </c>
    </row>
    <row r="58" spans="1:7" ht="15" customHeight="1" x14ac:dyDescent="0.2">
      <c r="A58"/>
      <c r="B58" s="300" t="s">
        <v>294</v>
      </c>
      <c r="C58" s="292" t="s">
        <v>207</v>
      </c>
      <c r="D58" s="293">
        <v>24</v>
      </c>
      <c r="E58" s="293">
        <v>0</v>
      </c>
      <c r="F58" s="293">
        <v>38</v>
      </c>
      <c r="G58" s="294">
        <f t="shared" si="1"/>
        <v>0.63157894736842102</v>
      </c>
    </row>
    <row r="59" spans="1:7" ht="15" customHeight="1" x14ac:dyDescent="0.2">
      <c r="A59"/>
      <c r="B59" s="246" t="s">
        <v>535</v>
      </c>
      <c r="C59" s="305"/>
      <c r="D59" s="306">
        <v>46</v>
      </c>
      <c r="E59" s="306">
        <v>0</v>
      </c>
      <c r="F59" s="306">
        <v>91</v>
      </c>
      <c r="G59" s="307">
        <f t="shared" si="1"/>
        <v>0.50549450549450547</v>
      </c>
    </row>
    <row r="60" spans="1:7" ht="15" customHeight="1" x14ac:dyDescent="0.2">
      <c r="A60"/>
      <c r="B60" s="301" t="s">
        <v>178</v>
      </c>
      <c r="C60" s="302" t="s">
        <v>482</v>
      </c>
      <c r="D60" s="303">
        <v>43</v>
      </c>
      <c r="E60" s="303">
        <v>0</v>
      </c>
      <c r="F60" s="303">
        <v>59</v>
      </c>
      <c r="G60" s="304">
        <f t="shared" si="1"/>
        <v>0.72881355932203384</v>
      </c>
    </row>
    <row r="61" spans="1:7" ht="15" customHeight="1" x14ac:dyDescent="0.2">
      <c r="A61"/>
      <c r="B61" s="300" t="s">
        <v>295</v>
      </c>
      <c r="C61" s="292" t="s">
        <v>476</v>
      </c>
      <c r="D61" s="293">
        <v>7</v>
      </c>
      <c r="E61" s="293">
        <v>0</v>
      </c>
      <c r="F61" s="293">
        <v>12</v>
      </c>
      <c r="G61" s="294">
        <f t="shared" si="1"/>
        <v>0.58333333333333337</v>
      </c>
    </row>
    <row r="62" spans="1:7" ht="15" customHeight="1" x14ac:dyDescent="0.2">
      <c r="A62"/>
      <c r="B62" s="300" t="s">
        <v>295</v>
      </c>
      <c r="C62" s="292" t="s">
        <v>478</v>
      </c>
      <c r="D62" s="293">
        <v>14</v>
      </c>
      <c r="E62" s="293">
        <v>0</v>
      </c>
      <c r="F62" s="293">
        <v>20</v>
      </c>
      <c r="G62" s="294">
        <f t="shared" si="1"/>
        <v>0.7</v>
      </c>
    </row>
    <row r="63" spans="1:7" ht="15" customHeight="1" x14ac:dyDescent="0.2">
      <c r="A63"/>
      <c r="B63" s="246" t="s">
        <v>536</v>
      </c>
      <c r="C63" s="305"/>
      <c r="D63" s="306">
        <v>64</v>
      </c>
      <c r="E63" s="306">
        <v>0</v>
      </c>
      <c r="F63" s="306">
        <v>91</v>
      </c>
      <c r="G63" s="307">
        <f t="shared" si="1"/>
        <v>0.70329670329670335</v>
      </c>
    </row>
    <row r="64" spans="1:7" ht="15" customHeight="1" x14ac:dyDescent="0.2">
      <c r="A64"/>
      <c r="B64" s="301" t="s">
        <v>295</v>
      </c>
      <c r="C64" s="302" t="s">
        <v>484</v>
      </c>
      <c r="D64" s="303">
        <v>7</v>
      </c>
      <c r="E64" s="303">
        <v>0</v>
      </c>
      <c r="F64" s="303">
        <v>15</v>
      </c>
      <c r="G64" s="304">
        <f t="shared" si="1"/>
        <v>0.46666666666666667</v>
      </c>
    </row>
    <row r="65" spans="1:7" ht="15" customHeight="1" x14ac:dyDescent="0.2">
      <c r="A65"/>
      <c r="B65" s="300" t="s">
        <v>295</v>
      </c>
      <c r="C65" s="292" t="s">
        <v>485</v>
      </c>
      <c r="D65" s="293">
        <v>10</v>
      </c>
      <c r="E65" s="293">
        <v>0</v>
      </c>
      <c r="F65" s="293">
        <v>17</v>
      </c>
      <c r="G65" s="294">
        <f t="shared" si="1"/>
        <v>0.58823529411764708</v>
      </c>
    </row>
    <row r="66" spans="1:7" ht="15" customHeight="1" x14ac:dyDescent="0.2">
      <c r="A66"/>
      <c r="B66" s="300" t="s">
        <v>295</v>
      </c>
      <c r="C66" s="292" t="s">
        <v>494</v>
      </c>
      <c r="D66" s="293">
        <v>4</v>
      </c>
      <c r="E66" s="293">
        <v>0</v>
      </c>
      <c r="F66" s="293">
        <v>2</v>
      </c>
      <c r="G66" s="294">
        <f t="shared" si="1"/>
        <v>2</v>
      </c>
    </row>
    <row r="67" spans="1:7" ht="15" customHeight="1" x14ac:dyDescent="0.2">
      <c r="A67"/>
      <c r="B67" s="300" t="s">
        <v>294</v>
      </c>
      <c r="C67" s="292" t="s">
        <v>490</v>
      </c>
      <c r="D67" s="293">
        <v>10</v>
      </c>
      <c r="E67" s="293">
        <v>0</v>
      </c>
      <c r="F67" s="293">
        <v>10</v>
      </c>
      <c r="G67" s="294">
        <f t="shared" si="1"/>
        <v>1</v>
      </c>
    </row>
    <row r="68" spans="1:7" ht="15" customHeight="1" x14ac:dyDescent="0.2">
      <c r="A68"/>
      <c r="B68" s="300" t="s">
        <v>295</v>
      </c>
      <c r="C68" s="292" t="s">
        <v>495</v>
      </c>
      <c r="D68" s="293">
        <v>6</v>
      </c>
      <c r="E68" s="293">
        <v>0</v>
      </c>
      <c r="F68" s="293">
        <v>18</v>
      </c>
      <c r="G68" s="294">
        <f t="shared" si="1"/>
        <v>0.33333333333333331</v>
      </c>
    </row>
    <row r="69" spans="1:7" ht="15" customHeight="1" x14ac:dyDescent="0.2">
      <c r="A69"/>
      <c r="B69" s="300" t="s">
        <v>295</v>
      </c>
      <c r="C69" s="292" t="s">
        <v>542</v>
      </c>
      <c r="D69" s="293">
        <v>7</v>
      </c>
      <c r="E69" s="293">
        <v>0</v>
      </c>
      <c r="F69" s="293">
        <v>21</v>
      </c>
      <c r="G69" s="294">
        <f t="shared" si="1"/>
        <v>0.33333333333333331</v>
      </c>
    </row>
    <row r="70" spans="1:7" ht="15" customHeight="1" x14ac:dyDescent="0.2">
      <c r="A70"/>
      <c r="B70" s="300" t="s">
        <v>295</v>
      </c>
      <c r="C70" s="292" t="s">
        <v>488</v>
      </c>
      <c r="D70" s="293">
        <v>16</v>
      </c>
      <c r="E70" s="293">
        <v>0</v>
      </c>
      <c r="F70" s="293">
        <v>40</v>
      </c>
      <c r="G70" s="294">
        <f t="shared" si="1"/>
        <v>0.4</v>
      </c>
    </row>
    <row r="71" spans="1:7" ht="15" customHeight="1" x14ac:dyDescent="0.2">
      <c r="A71"/>
      <c r="B71" s="300" t="s">
        <v>298</v>
      </c>
      <c r="C71" s="292" t="s">
        <v>489</v>
      </c>
      <c r="D71" s="293">
        <v>0</v>
      </c>
      <c r="E71" s="293">
        <v>0</v>
      </c>
      <c r="F71" s="293">
        <v>2</v>
      </c>
      <c r="G71" s="294">
        <f t="shared" si="1"/>
        <v>0</v>
      </c>
    </row>
    <row r="72" spans="1:7" ht="15" customHeight="1" x14ac:dyDescent="0.2">
      <c r="A72"/>
      <c r="B72" s="246" t="s">
        <v>537</v>
      </c>
      <c r="C72" s="305"/>
      <c r="D72" s="306">
        <v>60</v>
      </c>
      <c r="E72" s="306">
        <v>0</v>
      </c>
      <c r="F72" s="306">
        <v>125</v>
      </c>
      <c r="G72" s="307">
        <f t="shared" si="1"/>
        <v>0.48</v>
      </c>
    </row>
    <row r="73" spans="1:7" ht="15" customHeight="1" x14ac:dyDescent="0.2">
      <c r="A73"/>
      <c r="B73" s="246" t="s">
        <v>538</v>
      </c>
      <c r="C73" s="305"/>
      <c r="D73" s="306">
        <v>794</v>
      </c>
      <c r="E73" s="306">
        <v>0</v>
      </c>
      <c r="F73" s="306">
        <v>1104</v>
      </c>
      <c r="G73" s="307">
        <f t="shared" ref="G73" si="2">IF(F73=0,"-",(D73+E73)/F73)</f>
        <v>0.71920289855072461</v>
      </c>
    </row>
    <row r="74" spans="1:7" ht="15" customHeight="1" x14ac:dyDescent="0.2">
      <c r="A74"/>
      <c r="B74" s="308" t="s">
        <v>220</v>
      </c>
      <c r="C74" s="251"/>
      <c r="D74" s="251"/>
      <c r="E74" s="251"/>
      <c r="F74" s="251"/>
      <c r="G74" s="251"/>
    </row>
    <row r="75" spans="1:7" ht="15" customHeight="1" x14ac:dyDescent="0.2">
      <c r="A75"/>
      <c r="B75"/>
      <c r="C75"/>
      <c r="D75"/>
      <c r="E75"/>
      <c r="F75"/>
      <c r="G75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ht="15" customHeight="1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7" orientation="portrait" r:id="rId1"/>
  <headerFooter alignWithMargins="0">
    <oddFooter>&amp;LStatistiques mensuelles
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/>
  <dimension ref="A1:F17"/>
  <sheetViews>
    <sheetView zoomScaleNormal="100" workbookViewId="0"/>
  </sheetViews>
  <sheetFormatPr baseColWidth="10" defaultRowHeight="15" x14ac:dyDescent="0.2"/>
  <cols>
    <col min="1" max="1" width="12.42578125" style="99" bestFit="1" customWidth="1"/>
    <col min="2" max="2" width="25.7109375" style="99" customWidth="1"/>
    <col min="3" max="3" width="17.140625" style="99" customWidth="1"/>
    <col min="4" max="4" width="28" style="99" customWidth="1"/>
    <col min="5" max="5" width="24.7109375" style="99" customWidth="1"/>
    <col min="6" max="6" width="16.7109375" style="99" customWidth="1"/>
    <col min="7" max="16384" width="11.42578125" style="99"/>
  </cols>
  <sheetData>
    <row r="1" spans="1:6" ht="18.75" x14ac:dyDescent="0.2">
      <c r="B1" s="61" t="s">
        <v>101</v>
      </c>
      <c r="C1" s="61"/>
      <c r="D1" s="61"/>
      <c r="E1" s="61"/>
    </row>
    <row r="2" spans="1:6" ht="18.75" x14ac:dyDescent="0.2">
      <c r="B2" s="61" t="s">
        <v>102</v>
      </c>
      <c r="C2" s="61"/>
      <c r="D2" s="61"/>
      <c r="E2" s="61"/>
    </row>
    <row r="3" spans="1:6" ht="15" customHeight="1" x14ac:dyDescent="0.2">
      <c r="B3" s="264"/>
    </row>
    <row r="4" spans="1:6" ht="15" customHeight="1" x14ac:dyDescent="0.2">
      <c r="A4" s="264"/>
    </row>
    <row r="5" spans="1:6" x14ac:dyDescent="0.2">
      <c r="A5" s="64" t="s">
        <v>129</v>
      </c>
      <c r="B5" s="65" t="s">
        <v>130</v>
      </c>
      <c r="C5" s="66"/>
      <c r="D5" s="66"/>
      <c r="E5" s="66"/>
      <c r="F5" s="101"/>
    </row>
    <row r="6" spans="1:6" x14ac:dyDescent="0.2">
      <c r="A6" s="64" t="s">
        <v>131</v>
      </c>
      <c r="B6" s="69" t="str">
        <f>couverture!D15</f>
        <v xml:space="preserve">1er juillet 2014 </v>
      </c>
      <c r="C6" s="70"/>
      <c r="D6" s="70"/>
      <c r="E6" s="70"/>
      <c r="F6" s="101"/>
    </row>
    <row r="7" spans="1:6" x14ac:dyDescent="0.2">
      <c r="A7" s="68" t="s">
        <v>132</v>
      </c>
      <c r="B7" s="69" t="s">
        <v>133</v>
      </c>
      <c r="C7" s="70"/>
      <c r="D7" s="70"/>
      <c r="E7" s="70"/>
      <c r="F7" s="101"/>
    </row>
    <row r="8" spans="1:6" ht="15" customHeight="1" x14ac:dyDescent="0.2">
      <c r="F8" s="181"/>
    </row>
    <row r="9" spans="1:6" ht="15" customHeight="1" x14ac:dyDescent="0.2"/>
    <row r="10" spans="1:6" s="29" customFormat="1" ht="48" customHeight="1" x14ac:dyDescent="0.2">
      <c r="B10" s="99"/>
      <c r="C10" s="105" t="s">
        <v>222</v>
      </c>
      <c r="D10" s="78" t="s">
        <v>12</v>
      </c>
      <c r="E10" s="105" t="s">
        <v>223</v>
      </c>
    </row>
    <row r="11" spans="1:6" s="29" customFormat="1" ht="21" customHeight="1" x14ac:dyDescent="0.2">
      <c r="B11" s="265" t="s">
        <v>136</v>
      </c>
      <c r="C11" s="226">
        <v>2786</v>
      </c>
      <c r="D11" s="226">
        <v>75552</v>
      </c>
      <c r="E11" s="187">
        <f>C11/D11*100</f>
        <v>3.6875264718339684</v>
      </c>
    </row>
    <row r="12" spans="1:6" s="29" customFormat="1" ht="21" customHeight="1" x14ac:dyDescent="0.2">
      <c r="B12" s="266" t="s">
        <v>137</v>
      </c>
      <c r="C12" s="226">
        <v>149</v>
      </c>
      <c r="D12" s="226">
        <v>5168</v>
      </c>
      <c r="E12" s="187">
        <f>C12/D12*100</f>
        <v>2.8831269349845199</v>
      </c>
    </row>
    <row r="13" spans="1:6" s="29" customFormat="1" ht="21" customHeight="1" x14ac:dyDescent="0.2">
      <c r="B13" s="266"/>
      <c r="C13" s="226"/>
      <c r="D13" s="226"/>
      <c r="E13" s="187"/>
    </row>
    <row r="14" spans="1:6" s="29" customFormat="1" ht="21" customHeight="1" x14ac:dyDescent="0.2">
      <c r="B14" s="266"/>
      <c r="C14" s="226"/>
      <c r="D14" s="226"/>
      <c r="E14" s="187"/>
    </row>
    <row r="15" spans="1:6" s="29" customFormat="1" ht="21" customHeight="1" x14ac:dyDescent="0.2">
      <c r="B15" s="267" t="s">
        <v>224</v>
      </c>
      <c r="C15" s="268">
        <f>SUM(C11:C13)</f>
        <v>2935</v>
      </c>
      <c r="D15" s="268">
        <f>SUM(D11:D13)</f>
        <v>80720</v>
      </c>
      <c r="E15" s="156">
        <f>C15/D15*100</f>
        <v>3.6360257680872152</v>
      </c>
    </row>
    <row r="16" spans="1:6" s="29" customFormat="1" ht="21" customHeight="1" x14ac:dyDescent="0.2">
      <c r="B16" s="309"/>
      <c r="C16" s="310"/>
      <c r="D16" s="310"/>
      <c r="E16" s="311"/>
    </row>
    <row r="17" spans="2:3" x14ac:dyDescent="0.2">
      <c r="B17" s="99" t="s">
        <v>225</v>
      </c>
      <c r="C17" s="238">
        <v>653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/>
  <dimension ref="A1:H16"/>
  <sheetViews>
    <sheetView zoomScaleNormal="100" workbookViewId="0"/>
  </sheetViews>
  <sheetFormatPr baseColWidth="10" defaultRowHeight="12.75" x14ac:dyDescent="0.2"/>
  <cols>
    <col min="1" max="1" width="12.42578125" style="29" bestFit="1" customWidth="1"/>
    <col min="2" max="8" width="14.7109375" style="29" customWidth="1"/>
    <col min="9" max="16384" width="11.42578125" style="29"/>
  </cols>
  <sheetData>
    <row r="1" spans="1:8" ht="16.5" customHeight="1" x14ac:dyDescent="0.2">
      <c r="A1" s="99"/>
      <c r="B1" s="61" t="s">
        <v>104</v>
      </c>
      <c r="C1" s="61"/>
      <c r="D1" s="61"/>
      <c r="E1" s="61"/>
      <c r="F1" s="61"/>
      <c r="G1" s="99"/>
      <c r="H1" s="99"/>
    </row>
    <row r="2" spans="1:8" ht="16.5" customHeight="1" x14ac:dyDescent="0.2">
      <c r="A2" s="99"/>
      <c r="B2" s="61" t="s">
        <v>105</v>
      </c>
      <c r="C2" s="61"/>
      <c r="D2" s="61"/>
      <c r="E2" s="61"/>
      <c r="F2" s="61"/>
      <c r="G2" s="99"/>
      <c r="H2" s="99"/>
    </row>
    <row r="3" spans="1:8" ht="15" x14ac:dyDescent="0.2">
      <c r="A3" s="99"/>
      <c r="B3" s="264"/>
      <c r="C3" s="99"/>
      <c r="D3" s="99"/>
      <c r="E3" s="99"/>
      <c r="F3" s="99"/>
      <c r="G3" s="99"/>
      <c r="H3" s="99"/>
    </row>
    <row r="4" spans="1:8" ht="15" x14ac:dyDescent="0.2">
      <c r="A4" s="99"/>
      <c r="B4" s="99"/>
      <c r="C4" s="99"/>
      <c r="D4" s="99"/>
      <c r="E4" s="99"/>
      <c r="F4" s="99"/>
      <c r="G4" s="99"/>
      <c r="H4" s="99"/>
    </row>
    <row r="5" spans="1:8" ht="16.5" customHeight="1" x14ac:dyDescent="0.2">
      <c r="A5" s="64" t="s">
        <v>129</v>
      </c>
      <c r="B5" s="65" t="s">
        <v>130</v>
      </c>
      <c r="C5" s="66"/>
      <c r="D5" s="66"/>
      <c r="E5" s="66"/>
      <c r="F5" s="66"/>
      <c r="G5" s="67"/>
      <c r="H5" s="67"/>
    </row>
    <row r="6" spans="1:8" ht="16.5" customHeight="1" x14ac:dyDescent="0.2">
      <c r="A6" s="64" t="s">
        <v>131</v>
      </c>
      <c r="B6" s="69" t="str">
        <f>tab33femmes!B6</f>
        <v xml:space="preserve">1er juillet 2014 </v>
      </c>
      <c r="C6" s="70"/>
      <c r="D6" s="70"/>
      <c r="E6" s="70"/>
      <c r="F6" s="70"/>
      <c r="G6" s="71"/>
      <c r="H6" s="71"/>
    </row>
    <row r="7" spans="1:8" ht="16.5" customHeight="1" x14ac:dyDescent="0.2">
      <c r="A7" s="68" t="s">
        <v>132</v>
      </c>
      <c r="B7" s="69" t="s">
        <v>133</v>
      </c>
      <c r="C7" s="70"/>
      <c r="D7" s="70"/>
      <c r="E7" s="70"/>
      <c r="F7" s="70"/>
      <c r="G7" s="71"/>
      <c r="H7" s="71"/>
    </row>
    <row r="8" spans="1:8" ht="15" x14ac:dyDescent="0.2">
      <c r="A8" s="99"/>
      <c r="B8" s="99"/>
      <c r="C8" s="99"/>
      <c r="D8" s="99"/>
      <c r="E8" s="99"/>
      <c r="F8" s="181"/>
      <c r="G8" s="99"/>
      <c r="H8" s="99"/>
    </row>
    <row r="9" spans="1:8" ht="15" x14ac:dyDescent="0.2">
      <c r="A9" s="99"/>
      <c r="B9" s="99"/>
      <c r="C9" s="99"/>
      <c r="D9" s="99"/>
      <c r="E9" s="99"/>
      <c r="F9" s="99"/>
      <c r="G9" s="99"/>
      <c r="H9" s="99"/>
    </row>
    <row r="10" spans="1:8" ht="16.5" customHeight="1" x14ac:dyDescent="0.2">
      <c r="A10" s="99"/>
      <c r="B10" s="99"/>
      <c r="C10" s="483" t="s">
        <v>136</v>
      </c>
      <c r="D10" s="484"/>
      <c r="E10" s="483" t="s">
        <v>182</v>
      </c>
      <c r="F10" s="484"/>
      <c r="G10" s="483" t="s">
        <v>143</v>
      </c>
      <c r="H10" s="484"/>
    </row>
    <row r="11" spans="1:8" ht="16.5" customHeight="1" x14ac:dyDescent="0.2">
      <c r="A11" s="99"/>
      <c r="B11" s="99"/>
      <c r="C11" s="269" t="s">
        <v>211</v>
      </c>
      <c r="D11" s="269" t="s">
        <v>212</v>
      </c>
      <c r="E11" s="269" t="s">
        <v>211</v>
      </c>
      <c r="F11" s="269" t="s">
        <v>212</v>
      </c>
      <c r="G11" s="269" t="s">
        <v>211</v>
      </c>
      <c r="H11" s="269" t="s">
        <v>212</v>
      </c>
    </row>
    <row r="12" spans="1:8" ht="16.5" customHeight="1" x14ac:dyDescent="0.2">
      <c r="A12" s="99"/>
      <c r="B12" s="265"/>
      <c r="C12" s="270"/>
      <c r="D12" s="270"/>
      <c r="E12" s="270"/>
      <c r="F12" s="270"/>
      <c r="G12" s="270"/>
      <c r="H12" s="270"/>
    </row>
    <row r="13" spans="1:8" ht="16.5" customHeight="1" x14ac:dyDescent="0.2">
      <c r="A13" s="99"/>
      <c r="B13" s="266" t="s">
        <v>226</v>
      </c>
      <c r="C13" s="226">
        <v>771</v>
      </c>
      <c r="D13" s="187">
        <f>C13/$C$16*100</f>
        <v>27.674084709260587</v>
      </c>
      <c r="E13" s="226">
        <v>36</v>
      </c>
      <c r="F13" s="187">
        <f>E13/$E$16*100</f>
        <v>24.161073825503358</v>
      </c>
      <c r="G13" s="226">
        <f>C13+E13</f>
        <v>807</v>
      </c>
      <c r="H13" s="187">
        <f>G13/$G$16*100</f>
        <v>27.495741056218058</v>
      </c>
    </row>
    <row r="14" spans="1:8" ht="16.5" customHeight="1" x14ac:dyDescent="0.2">
      <c r="A14" s="99"/>
      <c r="B14" s="266" t="s">
        <v>227</v>
      </c>
      <c r="C14" s="226">
        <v>2015</v>
      </c>
      <c r="D14" s="187">
        <f>C14/$C$16*100</f>
        <v>72.325915290739403</v>
      </c>
      <c r="E14" s="226">
        <v>113</v>
      </c>
      <c r="F14" s="187">
        <f>E14/$E$16*100</f>
        <v>75.838926174496649</v>
      </c>
      <c r="G14" s="226">
        <f>C14+E14</f>
        <v>2128</v>
      </c>
      <c r="H14" s="187">
        <f>G14/$G$16*100</f>
        <v>72.504258943781934</v>
      </c>
    </row>
    <row r="15" spans="1:8" ht="16.5" customHeight="1" x14ac:dyDescent="0.2">
      <c r="A15" s="99"/>
      <c r="B15" s="266"/>
      <c r="C15" s="226"/>
      <c r="D15" s="187"/>
      <c r="E15" s="226"/>
      <c r="F15" s="187"/>
      <c r="G15" s="226"/>
      <c r="H15" s="187"/>
    </row>
    <row r="16" spans="1:8" ht="16.5" customHeight="1" x14ac:dyDescent="0.2">
      <c r="A16" s="99"/>
      <c r="B16" s="267" t="s">
        <v>143</v>
      </c>
      <c r="C16" s="268">
        <f t="shared" ref="C16:H16" si="0">SUM(C13:C14)</f>
        <v>2786</v>
      </c>
      <c r="D16" s="156">
        <f t="shared" si="0"/>
        <v>99.999999999999986</v>
      </c>
      <c r="E16" s="268">
        <f t="shared" si="0"/>
        <v>149</v>
      </c>
      <c r="F16" s="156">
        <f t="shared" si="0"/>
        <v>100</v>
      </c>
      <c r="G16" s="268">
        <f t="shared" si="0"/>
        <v>2935</v>
      </c>
      <c r="H16" s="156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/>
  <dimension ref="A1:G42"/>
  <sheetViews>
    <sheetView zoomScaleNormal="100" workbookViewId="0">
      <selection activeCell="H26" sqref="H26"/>
    </sheetView>
  </sheetViews>
  <sheetFormatPr baseColWidth="10" defaultRowHeight="15" x14ac:dyDescent="0.2"/>
  <cols>
    <col min="1" max="1" width="12.42578125" style="99" bestFit="1" customWidth="1"/>
    <col min="2" max="2" width="18.42578125" style="99" customWidth="1"/>
    <col min="3" max="3" width="16.7109375" style="99" customWidth="1"/>
    <col min="4" max="4" width="15.85546875" style="99" customWidth="1"/>
    <col min="5" max="5" width="17.85546875" style="99" customWidth="1"/>
    <col min="6" max="6" width="23.7109375" style="99" customWidth="1"/>
    <col min="7" max="16384" width="11.42578125" style="99"/>
  </cols>
  <sheetData>
    <row r="1" spans="1:7" ht="18.75" x14ac:dyDescent="0.2">
      <c r="B1" s="61" t="s">
        <v>107</v>
      </c>
      <c r="C1" s="61"/>
      <c r="D1" s="61"/>
      <c r="E1" s="61"/>
    </row>
    <row r="2" spans="1:7" ht="18.75" x14ac:dyDescent="0.2">
      <c r="B2" s="61" t="s">
        <v>108</v>
      </c>
      <c r="C2" s="61"/>
      <c r="D2" s="61"/>
      <c r="E2" s="61"/>
    </row>
    <row r="3" spans="1:7" ht="9" customHeight="1" x14ac:dyDescent="0.2">
      <c r="B3" s="264"/>
    </row>
    <row r="4" spans="1:7" s="29" customFormat="1" ht="13.5" x14ac:dyDescent="0.2">
      <c r="A4" s="128" t="s">
        <v>129</v>
      </c>
      <c r="B4" s="129" t="s">
        <v>130</v>
      </c>
      <c r="C4" s="130"/>
      <c r="D4" s="130"/>
      <c r="E4" s="130"/>
      <c r="F4" s="130"/>
    </row>
    <row r="5" spans="1:7" s="29" customFormat="1" ht="13.5" x14ac:dyDescent="0.2">
      <c r="A5" s="128" t="s">
        <v>131</v>
      </c>
      <c r="B5" s="132" t="str">
        <f>couverture!D15</f>
        <v xml:space="preserve">1er juillet 2014 </v>
      </c>
      <c r="C5" s="133"/>
      <c r="D5" s="133"/>
      <c r="E5" s="133"/>
      <c r="F5" s="133"/>
    </row>
    <row r="6" spans="1:7" s="29" customFormat="1" ht="13.5" x14ac:dyDescent="0.2">
      <c r="A6" s="131" t="s">
        <v>132</v>
      </c>
      <c r="B6" s="132" t="s">
        <v>133</v>
      </c>
      <c r="C6" s="133"/>
      <c r="D6" s="133"/>
      <c r="E6" s="133"/>
      <c r="F6" s="133"/>
    </row>
    <row r="7" spans="1:7" ht="9" customHeight="1" x14ac:dyDescent="0.2">
      <c r="F7" s="181"/>
    </row>
    <row r="8" spans="1:7" s="29" customFormat="1" ht="25.5" x14ac:dyDescent="0.2">
      <c r="B8" s="78" t="s">
        <v>140</v>
      </c>
      <c r="C8" s="78" t="s">
        <v>226</v>
      </c>
      <c r="D8" s="78" t="s">
        <v>227</v>
      </c>
      <c r="E8" s="78" t="s">
        <v>143</v>
      </c>
      <c r="F8" s="78" t="s">
        <v>144</v>
      </c>
    </row>
    <row r="9" spans="1:7" ht="14.25" customHeight="1" x14ac:dyDescent="0.2">
      <c r="B9" s="274" t="s">
        <v>502</v>
      </c>
      <c r="C9" s="312">
        <v>758</v>
      </c>
      <c r="D9" s="313">
        <v>2082</v>
      </c>
      <c r="E9" s="314">
        <v>2840</v>
      </c>
      <c r="F9" s="315">
        <v>2.3423423423423406E-2</v>
      </c>
      <c r="G9" s="316"/>
    </row>
    <row r="10" spans="1:7" ht="14.25" customHeight="1" x14ac:dyDescent="0.2">
      <c r="B10" s="274" t="s">
        <v>503</v>
      </c>
      <c r="C10" s="312">
        <v>722</v>
      </c>
      <c r="D10" s="313">
        <v>2030</v>
      </c>
      <c r="E10" s="314">
        <v>2752</v>
      </c>
      <c r="F10" s="315">
        <v>-3.0985915492957705E-2</v>
      </c>
      <c r="G10" s="316"/>
    </row>
    <row r="11" spans="1:7" ht="14.25" customHeight="1" x14ac:dyDescent="0.2">
      <c r="B11" s="274" t="s">
        <v>504</v>
      </c>
      <c r="C11" s="312">
        <v>679</v>
      </c>
      <c r="D11" s="313">
        <v>2003</v>
      </c>
      <c r="E11" s="314">
        <v>2682</v>
      </c>
      <c r="F11" s="315">
        <v>-2.5436046511627897E-2</v>
      </c>
      <c r="G11" s="316"/>
    </row>
    <row r="12" spans="1:7" ht="14.25" customHeight="1" x14ac:dyDescent="0.2">
      <c r="B12" s="274" t="s">
        <v>505</v>
      </c>
      <c r="C12" s="312">
        <v>689</v>
      </c>
      <c r="D12" s="313">
        <v>2017</v>
      </c>
      <c r="E12" s="314">
        <v>2706</v>
      </c>
      <c r="F12" s="315">
        <v>8.9485458612974522E-3</v>
      </c>
      <c r="G12" s="316"/>
    </row>
    <row r="13" spans="1:7" ht="14.25" customHeight="1" x14ac:dyDescent="0.2">
      <c r="B13" s="274" t="s">
        <v>506</v>
      </c>
      <c r="C13" s="312">
        <v>731</v>
      </c>
      <c r="D13" s="313">
        <v>2028</v>
      </c>
      <c r="E13" s="314">
        <v>2759</v>
      </c>
      <c r="F13" s="315">
        <v>1.9586104951958561E-2</v>
      </c>
      <c r="G13" s="316"/>
    </row>
    <row r="14" spans="1:7" ht="14.25" customHeight="1" x14ac:dyDescent="0.2">
      <c r="B14" s="274" t="s">
        <v>507</v>
      </c>
      <c r="C14" s="312">
        <v>743</v>
      </c>
      <c r="D14" s="313">
        <v>2078</v>
      </c>
      <c r="E14" s="314">
        <v>2821</v>
      </c>
      <c r="F14" s="315">
        <v>2.2471910112359605E-2</v>
      </c>
      <c r="G14" s="316"/>
    </row>
    <row r="15" spans="1:7" ht="14.25" customHeight="1" x14ac:dyDescent="0.2">
      <c r="B15" s="274" t="s">
        <v>508</v>
      </c>
      <c r="C15" s="312">
        <v>708</v>
      </c>
      <c r="D15" s="313">
        <v>2023</v>
      </c>
      <c r="E15" s="314">
        <v>2731</v>
      </c>
      <c r="F15" s="315">
        <v>-3.190358029067708E-2</v>
      </c>
      <c r="G15" s="316"/>
    </row>
    <row r="16" spans="1:7" ht="14.25" customHeight="1" x14ac:dyDescent="0.2">
      <c r="B16" s="274" t="s">
        <v>509</v>
      </c>
      <c r="C16" s="312">
        <v>718</v>
      </c>
      <c r="D16" s="313">
        <v>2022</v>
      </c>
      <c r="E16" s="314">
        <v>2740</v>
      </c>
      <c r="F16" s="315">
        <v>3.2954961552544848E-3</v>
      </c>
      <c r="G16" s="316"/>
    </row>
    <row r="17" spans="2:7" ht="14.25" customHeight="1" x14ac:dyDescent="0.2">
      <c r="B17" s="274" t="s">
        <v>510</v>
      </c>
      <c r="C17" s="312">
        <v>707</v>
      </c>
      <c r="D17" s="313">
        <v>2088</v>
      </c>
      <c r="E17" s="314">
        <v>2795</v>
      </c>
      <c r="F17" s="315">
        <v>2.007299270072993E-2</v>
      </c>
      <c r="G17" s="316"/>
    </row>
    <row r="18" spans="2:7" ht="14.25" customHeight="1" x14ac:dyDescent="0.2">
      <c r="B18" s="274" t="s">
        <v>511</v>
      </c>
      <c r="C18" s="312">
        <v>707</v>
      </c>
      <c r="D18" s="313">
        <v>2085</v>
      </c>
      <c r="E18" s="314">
        <v>2792</v>
      </c>
      <c r="F18" s="315">
        <v>-1.0733452593917336E-3</v>
      </c>
      <c r="G18" s="316"/>
    </row>
    <row r="19" spans="2:7" ht="14.25" customHeight="1" x14ac:dyDescent="0.2">
      <c r="B19" s="274" t="s">
        <v>512</v>
      </c>
      <c r="C19" s="312">
        <v>678</v>
      </c>
      <c r="D19" s="313">
        <v>2123</v>
      </c>
      <c r="E19" s="314">
        <v>2801</v>
      </c>
      <c r="F19" s="315">
        <v>3.223495702005641E-3</v>
      </c>
      <c r="G19" s="316"/>
    </row>
    <row r="20" spans="2:7" ht="14.25" customHeight="1" x14ac:dyDescent="0.2">
      <c r="B20" s="274" t="s">
        <v>513</v>
      </c>
      <c r="C20" s="312">
        <v>682</v>
      </c>
      <c r="D20" s="313">
        <v>2128</v>
      </c>
      <c r="E20" s="314">
        <v>2810</v>
      </c>
      <c r="F20" s="315">
        <v>3.2131381649411761E-3</v>
      </c>
      <c r="G20" s="316"/>
    </row>
    <row r="21" spans="2:7" ht="14.25" customHeight="1" x14ac:dyDescent="0.2">
      <c r="B21" s="274" t="s">
        <v>514</v>
      </c>
      <c r="C21" s="312">
        <v>711</v>
      </c>
      <c r="D21" s="313">
        <v>2149</v>
      </c>
      <c r="E21" s="314">
        <v>2860</v>
      </c>
      <c r="F21" s="315">
        <v>1.7793594306049876E-2</v>
      </c>
      <c r="G21" s="316"/>
    </row>
    <row r="22" spans="2:7" ht="14.25" customHeight="1" x14ac:dyDescent="0.2">
      <c r="B22" s="274" t="s">
        <v>515</v>
      </c>
      <c r="C22" s="312">
        <v>683</v>
      </c>
      <c r="D22" s="313">
        <v>2134</v>
      </c>
      <c r="E22" s="314">
        <v>2817</v>
      </c>
      <c r="F22" s="315">
        <v>-1.5034965034965042E-2</v>
      </c>
      <c r="G22" s="316"/>
    </row>
    <row r="23" spans="2:7" ht="14.25" customHeight="1" x14ac:dyDescent="0.2">
      <c r="B23" s="274" t="s">
        <v>516</v>
      </c>
      <c r="C23" s="312">
        <v>708</v>
      </c>
      <c r="D23" s="313">
        <v>2028</v>
      </c>
      <c r="E23" s="314">
        <v>2736</v>
      </c>
      <c r="F23" s="315">
        <v>-2.8753993610223683E-2</v>
      </c>
      <c r="G23" s="316"/>
    </row>
    <row r="24" spans="2:7" ht="14.25" customHeight="1" x14ac:dyDescent="0.2">
      <c r="B24" s="274" t="s">
        <v>517</v>
      </c>
      <c r="C24" s="312">
        <v>698</v>
      </c>
      <c r="D24" s="313">
        <v>2026</v>
      </c>
      <c r="E24" s="314">
        <v>2724</v>
      </c>
      <c r="F24" s="315">
        <v>-4.3859649122807154E-3</v>
      </c>
      <c r="G24" s="316"/>
    </row>
    <row r="25" spans="2:7" ht="14.25" customHeight="1" x14ac:dyDescent="0.2">
      <c r="B25" s="274" t="s">
        <v>518</v>
      </c>
      <c r="C25" s="312">
        <v>714</v>
      </c>
      <c r="D25" s="313">
        <v>2030</v>
      </c>
      <c r="E25" s="314">
        <v>2744</v>
      </c>
      <c r="F25" s="315">
        <v>7.3421439060206151E-3</v>
      </c>
      <c r="G25" s="316"/>
    </row>
    <row r="26" spans="2:7" ht="14.25" customHeight="1" x14ac:dyDescent="0.2">
      <c r="B26" s="274" t="s">
        <v>519</v>
      </c>
      <c r="C26" s="312">
        <v>738</v>
      </c>
      <c r="D26" s="313">
        <v>1993</v>
      </c>
      <c r="E26" s="314">
        <v>2731</v>
      </c>
      <c r="F26" s="315">
        <v>-4.737609329446113E-3</v>
      </c>
      <c r="G26" s="316"/>
    </row>
    <row r="27" spans="2:7" ht="14.25" customHeight="1" x14ac:dyDescent="0.2">
      <c r="B27" s="274" t="s">
        <v>520</v>
      </c>
      <c r="C27" s="312">
        <v>707</v>
      </c>
      <c r="D27" s="313">
        <v>1983</v>
      </c>
      <c r="E27" s="314">
        <v>2690</v>
      </c>
      <c r="F27" s="315">
        <v>-1.5012815818381542E-2</v>
      </c>
      <c r="G27" s="316"/>
    </row>
    <row r="28" spans="2:7" ht="14.25" customHeight="1" x14ac:dyDescent="0.2">
      <c r="B28" s="274" t="s">
        <v>521</v>
      </c>
      <c r="C28" s="312">
        <v>764</v>
      </c>
      <c r="D28" s="313">
        <v>1966</v>
      </c>
      <c r="E28" s="314">
        <v>2730</v>
      </c>
      <c r="F28" s="315">
        <v>1.4869888475836479E-2</v>
      </c>
      <c r="G28" s="316"/>
    </row>
    <row r="29" spans="2:7" ht="14.25" customHeight="1" x14ac:dyDescent="0.2">
      <c r="B29" s="274" t="s">
        <v>522</v>
      </c>
      <c r="C29" s="312">
        <v>768</v>
      </c>
      <c r="D29" s="313">
        <v>1956</v>
      </c>
      <c r="E29" s="314">
        <v>2724</v>
      </c>
      <c r="F29" s="315">
        <v>-2.19780219780219E-3</v>
      </c>
      <c r="G29" s="316"/>
    </row>
    <row r="30" spans="2:7" ht="14.25" customHeight="1" x14ac:dyDescent="0.2">
      <c r="B30" s="274" t="s">
        <v>523</v>
      </c>
      <c r="C30" s="312">
        <v>786</v>
      </c>
      <c r="D30" s="313">
        <v>2034</v>
      </c>
      <c r="E30" s="314">
        <v>2820</v>
      </c>
      <c r="F30" s="315">
        <v>3.524229074889873E-2</v>
      </c>
      <c r="G30" s="316"/>
    </row>
    <row r="31" spans="2:7" ht="14.25" customHeight="1" x14ac:dyDescent="0.2">
      <c r="B31" s="274" t="s">
        <v>524</v>
      </c>
      <c r="C31" s="312">
        <v>794</v>
      </c>
      <c r="D31" s="313">
        <v>2057</v>
      </c>
      <c r="E31" s="314">
        <v>2851</v>
      </c>
      <c r="F31" s="315">
        <v>1.0992907801418372E-2</v>
      </c>
      <c r="G31" s="316"/>
    </row>
    <row r="32" spans="2:7" ht="14.25" customHeight="1" x14ac:dyDescent="0.2">
      <c r="B32" s="274" t="s">
        <v>525</v>
      </c>
      <c r="C32" s="312">
        <v>798</v>
      </c>
      <c r="D32" s="313">
        <v>2093</v>
      </c>
      <c r="E32" s="314">
        <v>2891</v>
      </c>
      <c r="F32" s="315">
        <v>1.4030164854436977E-2</v>
      </c>
      <c r="G32" s="316"/>
    </row>
    <row r="33" spans="2:7" ht="14.25" customHeight="1" x14ac:dyDescent="0.2">
      <c r="B33" s="276" t="s">
        <v>526</v>
      </c>
      <c r="C33" s="317">
        <v>807</v>
      </c>
      <c r="D33" s="317">
        <v>2128</v>
      </c>
      <c r="E33" s="277">
        <v>2935</v>
      </c>
      <c r="F33" s="278">
        <v>1.5219647180906293E-2</v>
      </c>
      <c r="G33" s="316"/>
    </row>
    <row r="34" spans="2:7" x14ac:dyDescent="0.2">
      <c r="B34" s="318"/>
      <c r="C34" s="279"/>
      <c r="D34" s="319"/>
      <c r="E34" s="279"/>
      <c r="F34" s="279"/>
    </row>
    <row r="35" spans="2:7" s="29" customFormat="1" ht="12.75" x14ac:dyDescent="0.2">
      <c r="B35" s="103"/>
      <c r="C35" s="279"/>
      <c r="D35" s="279"/>
      <c r="E35" s="280"/>
      <c r="F35" s="279"/>
    </row>
    <row r="42" spans="2:7" x14ac:dyDescent="0.2">
      <c r="E42" s="181"/>
    </row>
  </sheetData>
  <phoneticPr fontId="0" type="noConversion"/>
  <pageMargins left="0.78740157499999996" right="0.78740157499999996" top="0.984251969" bottom="0.984251969" header="0.4921259845" footer="0.4921259845"/>
  <pageSetup paperSize="9" scale="88" orientation="landscape" r:id="rId1"/>
  <headerFooter alignWithMargins="0">
    <oddFooter>&amp;LStatistiques mensuelles
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/>
  <dimension ref="A1:H7"/>
  <sheetViews>
    <sheetView zoomScaleNormal="100" workbookViewId="0">
      <selection activeCell="K13" sqref="K13"/>
    </sheetView>
  </sheetViews>
  <sheetFormatPr baseColWidth="10" defaultRowHeight="12.75" x14ac:dyDescent="0.2"/>
  <cols>
    <col min="1" max="1" width="12.42578125" style="281" bestFit="1" customWidth="1"/>
    <col min="2" max="6" width="16.7109375" style="281" customWidth="1"/>
    <col min="7" max="16384" width="11.42578125" style="281"/>
  </cols>
  <sheetData>
    <row r="1" spans="1:8" ht="18.75" x14ac:dyDescent="0.2">
      <c r="A1" s="99"/>
      <c r="B1" s="61" t="s">
        <v>110</v>
      </c>
    </row>
    <row r="2" spans="1:8" ht="18.75" x14ac:dyDescent="0.2">
      <c r="A2" s="99"/>
      <c r="B2" s="61" t="s">
        <v>284</v>
      </c>
    </row>
    <row r="3" spans="1:8" ht="15" x14ac:dyDescent="0.2">
      <c r="A3" s="99"/>
      <c r="B3" s="264"/>
    </row>
    <row r="4" spans="1:8" ht="15" x14ac:dyDescent="0.2">
      <c r="A4" s="64" t="s">
        <v>129</v>
      </c>
      <c r="B4" s="65" t="s">
        <v>130</v>
      </c>
      <c r="C4" s="283"/>
      <c r="D4" s="283"/>
      <c r="E4" s="283"/>
      <c r="F4" s="283"/>
      <c r="G4" s="283"/>
      <c r="H4" s="283"/>
    </row>
    <row r="5" spans="1:8" ht="15" x14ac:dyDescent="0.2">
      <c r="A5" s="64" t="s">
        <v>131</v>
      </c>
      <c r="B5" s="69" t="str">
        <f>couverture!D15</f>
        <v xml:space="preserve">1er juillet 2014 </v>
      </c>
      <c r="C5" s="284"/>
      <c r="D5" s="284"/>
      <c r="E5" s="284"/>
      <c r="F5" s="284"/>
      <c r="G5" s="284"/>
      <c r="H5" s="284"/>
    </row>
    <row r="6" spans="1:8" ht="15" x14ac:dyDescent="0.2">
      <c r="A6" s="68" t="s">
        <v>132</v>
      </c>
      <c r="B6" s="69" t="s">
        <v>133</v>
      </c>
      <c r="C6" s="284"/>
      <c r="D6" s="284"/>
      <c r="E6" s="284"/>
      <c r="F6" s="284"/>
      <c r="G6" s="284"/>
      <c r="H6" s="284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40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zoomScaleNormal="100" workbookViewId="0"/>
  </sheetViews>
  <sheetFormatPr baseColWidth="10" defaultRowHeight="12.75" x14ac:dyDescent="0.2"/>
  <cols>
    <col min="1" max="1" width="11.42578125" style="361"/>
    <col min="2" max="2" width="12" style="361" bestFit="1" customWidth="1"/>
    <col min="3" max="6" width="11.42578125" style="361"/>
    <col min="7" max="7" width="16.140625" style="361" customWidth="1"/>
    <col min="8" max="8" width="16.42578125" style="361" customWidth="1"/>
    <col min="9" max="9" width="18.140625" style="361" customWidth="1"/>
    <col min="10" max="10" width="9" style="361" customWidth="1"/>
    <col min="11" max="16384" width="11.42578125" style="361"/>
  </cols>
  <sheetData>
    <row r="1" spans="1:10" ht="18.75" x14ac:dyDescent="0.25">
      <c r="A1" s="358"/>
      <c r="B1" s="359" t="s">
        <v>242</v>
      </c>
      <c r="C1" s="359"/>
      <c r="D1" s="359"/>
      <c r="E1" s="358"/>
      <c r="F1" s="358"/>
      <c r="G1" s="360"/>
      <c r="H1" s="360"/>
      <c r="I1" s="360"/>
      <c r="J1" s="360"/>
    </row>
    <row r="2" spans="1:10" ht="18.75" x14ac:dyDescent="0.25">
      <c r="A2" s="358"/>
      <c r="B2" s="61" t="s">
        <v>243</v>
      </c>
      <c r="C2" s="362"/>
      <c r="D2" s="359"/>
      <c r="E2" s="358"/>
      <c r="F2" s="358"/>
      <c r="G2" s="360"/>
      <c r="H2" s="360"/>
      <c r="I2" s="360"/>
      <c r="J2" s="360"/>
    </row>
    <row r="3" spans="1:10" ht="18.75" x14ac:dyDescent="0.25">
      <c r="A3" s="358"/>
      <c r="B3" s="358"/>
      <c r="C3" s="358"/>
      <c r="D3" s="359"/>
      <c r="E3" s="358"/>
      <c r="F3" s="358"/>
      <c r="G3" s="360"/>
      <c r="H3" s="360"/>
      <c r="I3" s="360"/>
      <c r="J3" s="360"/>
    </row>
    <row r="4" spans="1:10" ht="15" x14ac:dyDescent="0.25">
      <c r="A4" s="358"/>
      <c r="B4" s="358"/>
      <c r="C4" s="358"/>
      <c r="D4" s="358"/>
      <c r="E4" s="358"/>
      <c r="F4" s="358"/>
      <c r="G4" s="360"/>
      <c r="H4" s="360"/>
      <c r="I4" s="360"/>
      <c r="J4" s="360"/>
    </row>
    <row r="5" spans="1:10" ht="15" x14ac:dyDescent="0.2">
      <c r="A5" s="363" t="s">
        <v>129</v>
      </c>
      <c r="B5" s="364" t="s">
        <v>130</v>
      </c>
      <c r="C5" s="365"/>
      <c r="D5" s="365"/>
      <c r="E5" s="365"/>
      <c r="F5" s="365"/>
      <c r="G5" s="365"/>
      <c r="H5" s="365"/>
      <c r="I5" s="365"/>
      <c r="J5" s="365"/>
    </row>
    <row r="6" spans="1:10" ht="15" x14ac:dyDescent="0.2">
      <c r="A6" s="363" t="s">
        <v>131</v>
      </c>
      <c r="B6" s="364" t="s">
        <v>283</v>
      </c>
      <c r="C6" s="365"/>
      <c r="D6" s="365"/>
      <c r="E6" s="365"/>
      <c r="F6" s="365"/>
      <c r="G6" s="365"/>
      <c r="H6" s="365"/>
      <c r="I6" s="365"/>
      <c r="J6" s="365"/>
    </row>
    <row r="7" spans="1:10" ht="15" x14ac:dyDescent="0.2">
      <c r="A7" s="366" t="s">
        <v>132</v>
      </c>
      <c r="B7" s="367" t="s">
        <v>133</v>
      </c>
      <c r="C7" s="368"/>
      <c r="D7" s="368"/>
      <c r="E7" s="368"/>
      <c r="F7" s="368"/>
      <c r="G7" s="368"/>
      <c r="H7" s="368"/>
      <c r="I7" s="368"/>
      <c r="J7" s="368"/>
    </row>
    <row r="8" spans="1:10" ht="15" x14ac:dyDescent="0.25">
      <c r="A8" s="369"/>
      <c r="B8" s="370"/>
      <c r="C8" s="370"/>
      <c r="D8" s="370"/>
      <c r="E8" s="370"/>
      <c r="F8" s="370"/>
      <c r="G8" s="360"/>
      <c r="H8" s="360"/>
      <c r="I8" s="360"/>
      <c r="J8" s="360"/>
    </row>
    <row r="9" spans="1:10" ht="33.75" customHeight="1" x14ac:dyDescent="0.3">
      <c r="B9" s="371" t="s">
        <v>253</v>
      </c>
      <c r="C9" s="371" t="s">
        <v>281</v>
      </c>
      <c r="D9" s="489" t="s">
        <v>254</v>
      </c>
      <c r="E9" s="490"/>
      <c r="F9" s="491"/>
      <c r="G9" s="372" t="s">
        <v>255</v>
      </c>
      <c r="H9" s="373" t="s">
        <v>256</v>
      </c>
      <c r="I9" s="373" t="s">
        <v>257</v>
      </c>
      <c r="J9" s="374" t="s">
        <v>212</v>
      </c>
    </row>
    <row r="10" spans="1:10" x14ac:dyDescent="0.2">
      <c r="B10" s="375"/>
      <c r="C10" s="375"/>
      <c r="D10" s="376" t="s">
        <v>258</v>
      </c>
      <c r="E10" s="376" t="s">
        <v>259</v>
      </c>
      <c r="F10" s="376" t="s">
        <v>115</v>
      </c>
      <c r="G10" s="377"/>
      <c r="H10" s="375"/>
      <c r="I10" s="375"/>
      <c r="J10" s="378"/>
    </row>
    <row r="11" spans="1:10" ht="15" x14ac:dyDescent="0.25">
      <c r="B11" s="379">
        <v>41091</v>
      </c>
      <c r="C11" s="380">
        <v>10244</v>
      </c>
      <c r="D11" s="380">
        <v>344</v>
      </c>
      <c r="E11" s="380">
        <v>645</v>
      </c>
      <c r="F11" s="381">
        <f>D11+E11</f>
        <v>989</v>
      </c>
      <c r="G11" s="382">
        <v>1993</v>
      </c>
      <c r="H11" s="383">
        <v>13226</v>
      </c>
      <c r="I11" s="383">
        <v>61124</v>
      </c>
      <c r="J11" s="384">
        <f>H11/I11%</f>
        <v>21.637981807473334</v>
      </c>
    </row>
    <row r="12" spans="1:10" ht="15" x14ac:dyDescent="0.25">
      <c r="B12" s="379">
        <v>41122</v>
      </c>
      <c r="C12" s="380">
        <v>10104</v>
      </c>
      <c r="D12" s="380">
        <v>397</v>
      </c>
      <c r="E12" s="380">
        <v>633</v>
      </c>
      <c r="F12" s="381">
        <f t="shared" ref="F12:F35" si="0">D12+E12</f>
        <v>1030</v>
      </c>
      <c r="G12" s="382">
        <v>1916</v>
      </c>
      <c r="H12" s="383">
        <v>13050</v>
      </c>
      <c r="I12" s="383">
        <v>61018</v>
      </c>
      <c r="J12" s="385">
        <f t="shared" ref="J12:J35" si="1">H12/I12%</f>
        <v>21.387131666065752</v>
      </c>
    </row>
    <row r="13" spans="1:10" ht="15" x14ac:dyDescent="0.25">
      <c r="B13" s="379">
        <v>41153</v>
      </c>
      <c r="C13" s="380">
        <v>9390</v>
      </c>
      <c r="D13" s="380">
        <v>406</v>
      </c>
      <c r="E13" s="380">
        <v>558</v>
      </c>
      <c r="F13" s="381">
        <f t="shared" si="0"/>
        <v>964</v>
      </c>
      <c r="G13" s="382">
        <v>1813</v>
      </c>
      <c r="H13" s="383">
        <v>12167</v>
      </c>
      <c r="I13" s="383">
        <v>59808</v>
      </c>
      <c r="J13" s="385">
        <f t="shared" si="1"/>
        <v>20.343432316746924</v>
      </c>
    </row>
    <row r="14" spans="1:10" ht="15" x14ac:dyDescent="0.25">
      <c r="B14" s="379">
        <v>41183</v>
      </c>
      <c r="C14" s="380">
        <v>9105</v>
      </c>
      <c r="D14" s="380">
        <v>390</v>
      </c>
      <c r="E14" s="380">
        <v>598</v>
      </c>
      <c r="F14" s="381">
        <f t="shared" si="0"/>
        <v>988</v>
      </c>
      <c r="G14" s="382">
        <v>1834</v>
      </c>
      <c r="H14" s="383">
        <v>11927</v>
      </c>
      <c r="I14" s="383">
        <v>59492</v>
      </c>
      <c r="J14" s="385">
        <f t="shared" si="1"/>
        <v>20.048073690580246</v>
      </c>
    </row>
    <row r="15" spans="1:10" ht="15" x14ac:dyDescent="0.25">
      <c r="B15" s="379">
        <v>41214</v>
      </c>
      <c r="C15" s="380">
        <v>9470</v>
      </c>
      <c r="D15" s="380">
        <v>368</v>
      </c>
      <c r="E15" s="380">
        <v>587</v>
      </c>
      <c r="F15" s="381">
        <f t="shared" si="0"/>
        <v>955</v>
      </c>
      <c r="G15" s="382">
        <v>1845</v>
      </c>
      <c r="H15" s="383">
        <v>12270</v>
      </c>
      <c r="I15" s="383">
        <v>60461</v>
      </c>
      <c r="J15" s="385">
        <f t="shared" si="1"/>
        <v>20.294073865797788</v>
      </c>
    </row>
    <row r="16" spans="1:10" ht="15" x14ac:dyDescent="0.25">
      <c r="B16" s="379">
        <v>41244</v>
      </c>
      <c r="C16" s="380">
        <v>9840</v>
      </c>
      <c r="D16" s="380">
        <v>416</v>
      </c>
      <c r="E16" s="380">
        <v>568</v>
      </c>
      <c r="F16" s="381">
        <f t="shared" si="0"/>
        <v>984</v>
      </c>
      <c r="G16" s="382">
        <v>1903</v>
      </c>
      <c r="H16" s="383">
        <v>12727</v>
      </c>
      <c r="I16" s="383">
        <v>61137</v>
      </c>
      <c r="J16" s="385">
        <f t="shared" si="1"/>
        <v>20.817181085103947</v>
      </c>
    </row>
    <row r="17" spans="2:10" ht="15" x14ac:dyDescent="0.25">
      <c r="B17" s="379">
        <v>41275</v>
      </c>
      <c r="C17" s="380">
        <v>9653</v>
      </c>
      <c r="D17" s="380">
        <v>403</v>
      </c>
      <c r="E17" s="380">
        <v>573</v>
      </c>
      <c r="F17" s="381">
        <f t="shared" si="0"/>
        <v>976</v>
      </c>
      <c r="G17" s="382">
        <v>1785</v>
      </c>
      <c r="H17" s="383">
        <v>12414</v>
      </c>
      <c r="I17" s="383">
        <v>60344</v>
      </c>
      <c r="J17" s="385">
        <f t="shared" si="1"/>
        <v>20.572053559591673</v>
      </c>
    </row>
    <row r="18" spans="2:10" ht="15" x14ac:dyDescent="0.25">
      <c r="B18" s="379">
        <v>41306</v>
      </c>
      <c r="C18" s="380">
        <v>10197</v>
      </c>
      <c r="D18" s="380">
        <v>405</v>
      </c>
      <c r="E18" s="380">
        <v>597</v>
      </c>
      <c r="F18" s="381">
        <f t="shared" si="0"/>
        <v>1002</v>
      </c>
      <c r="G18" s="382">
        <v>1867</v>
      </c>
      <c r="H18" s="383">
        <v>13066</v>
      </c>
      <c r="I18" s="383">
        <v>60786</v>
      </c>
      <c r="J18" s="385">
        <f t="shared" si="1"/>
        <v>21.495081104201624</v>
      </c>
    </row>
    <row r="19" spans="2:10" ht="15" x14ac:dyDescent="0.25">
      <c r="B19" s="379">
        <v>41334</v>
      </c>
      <c r="C19" s="380">
        <v>10615</v>
      </c>
      <c r="D19" s="380">
        <v>404</v>
      </c>
      <c r="E19" s="380">
        <v>598</v>
      </c>
      <c r="F19" s="381">
        <f t="shared" si="0"/>
        <v>1002</v>
      </c>
      <c r="G19" s="382">
        <v>1921</v>
      </c>
      <c r="H19" s="383">
        <v>13538</v>
      </c>
      <c r="I19" s="383">
        <v>61409</v>
      </c>
      <c r="J19" s="385">
        <f t="shared" si="1"/>
        <v>22.045628490937808</v>
      </c>
    </row>
    <row r="20" spans="2:10" ht="15" x14ac:dyDescent="0.25">
      <c r="B20" s="379">
        <v>41365</v>
      </c>
      <c r="C20" s="380">
        <v>10919</v>
      </c>
      <c r="D20" s="380">
        <v>442</v>
      </c>
      <c r="E20" s="380">
        <v>585</v>
      </c>
      <c r="F20" s="381">
        <f t="shared" si="0"/>
        <v>1027</v>
      </c>
      <c r="G20" s="382">
        <v>1942</v>
      </c>
      <c r="H20" s="383">
        <v>13888</v>
      </c>
      <c r="I20" s="383">
        <v>61831</v>
      </c>
      <c r="J20" s="385">
        <f t="shared" si="1"/>
        <v>22.461224951884979</v>
      </c>
    </row>
    <row r="21" spans="2:10" ht="15" x14ac:dyDescent="0.25">
      <c r="B21" s="379">
        <v>41395</v>
      </c>
      <c r="C21" s="380">
        <v>11438</v>
      </c>
      <c r="D21" s="380">
        <v>435</v>
      </c>
      <c r="E21" s="380">
        <v>635</v>
      </c>
      <c r="F21" s="381">
        <f t="shared" si="0"/>
        <v>1070</v>
      </c>
      <c r="G21" s="382">
        <v>2041</v>
      </c>
      <c r="H21" s="383">
        <v>14549</v>
      </c>
      <c r="I21" s="383">
        <v>62925</v>
      </c>
      <c r="J21" s="385">
        <f t="shared" si="1"/>
        <v>23.121176003178388</v>
      </c>
    </row>
    <row r="22" spans="2:10" ht="15" x14ac:dyDescent="0.25">
      <c r="B22" s="379">
        <v>41426</v>
      </c>
      <c r="C22" s="380">
        <v>11559</v>
      </c>
      <c r="D22" s="380">
        <v>416</v>
      </c>
      <c r="E22" s="380">
        <v>622</v>
      </c>
      <c r="F22" s="381">
        <f t="shared" si="0"/>
        <v>1038</v>
      </c>
      <c r="G22" s="382">
        <v>2000</v>
      </c>
      <c r="H22" s="383">
        <v>14597</v>
      </c>
      <c r="I22" s="383">
        <v>62963</v>
      </c>
      <c r="J22" s="385">
        <f t="shared" si="1"/>
        <v>23.183456950907676</v>
      </c>
    </row>
    <row r="23" spans="2:10" ht="15" x14ac:dyDescent="0.25">
      <c r="B23" s="379">
        <v>41456</v>
      </c>
      <c r="C23" s="380">
        <v>11475</v>
      </c>
      <c r="D23" s="380">
        <v>405</v>
      </c>
      <c r="E23" s="380">
        <v>656</v>
      </c>
      <c r="F23" s="381">
        <f t="shared" si="0"/>
        <v>1061</v>
      </c>
      <c r="G23" s="382">
        <v>1993</v>
      </c>
      <c r="H23" s="383">
        <v>14529</v>
      </c>
      <c r="I23" s="383">
        <v>63382</v>
      </c>
      <c r="J23" s="385">
        <f t="shared" si="1"/>
        <v>22.922911867722696</v>
      </c>
    </row>
    <row r="24" spans="2:10" ht="15" x14ac:dyDescent="0.25">
      <c r="B24" s="379">
        <v>41487</v>
      </c>
      <c r="C24" s="380">
        <v>11465</v>
      </c>
      <c r="D24" s="380">
        <v>380</v>
      </c>
      <c r="E24" s="380">
        <v>619</v>
      </c>
      <c r="F24" s="381">
        <f t="shared" si="0"/>
        <v>999</v>
      </c>
      <c r="G24" s="382">
        <v>1939</v>
      </c>
      <c r="H24" s="383">
        <v>14403</v>
      </c>
      <c r="I24" s="383">
        <v>63313</v>
      </c>
      <c r="J24" s="385">
        <f t="shared" si="1"/>
        <v>22.748882535972076</v>
      </c>
    </row>
    <row r="25" spans="2:10" ht="15" x14ac:dyDescent="0.25">
      <c r="B25" s="379">
        <v>41518</v>
      </c>
      <c r="C25" s="380">
        <v>10646</v>
      </c>
      <c r="D25" s="380">
        <v>374</v>
      </c>
      <c r="E25" s="380">
        <v>580</v>
      </c>
      <c r="F25" s="386">
        <f t="shared" si="0"/>
        <v>954</v>
      </c>
      <c r="G25" s="382">
        <v>1813</v>
      </c>
      <c r="H25" s="383">
        <v>13413</v>
      </c>
      <c r="I25" s="383">
        <v>61710</v>
      </c>
      <c r="J25" s="385">
        <f t="shared" si="1"/>
        <v>21.735537190082646</v>
      </c>
    </row>
    <row r="26" spans="2:10" ht="15" x14ac:dyDescent="0.25">
      <c r="B26" s="379">
        <v>41548</v>
      </c>
      <c r="C26" s="380">
        <v>10451</v>
      </c>
      <c r="D26" s="380">
        <v>391</v>
      </c>
      <c r="E26" s="380">
        <v>602</v>
      </c>
      <c r="F26" s="386">
        <f t="shared" si="0"/>
        <v>993</v>
      </c>
      <c r="G26" s="382">
        <v>1860</v>
      </c>
      <c r="H26" s="383">
        <v>13304</v>
      </c>
      <c r="I26" s="383">
        <v>61568</v>
      </c>
      <c r="J26" s="385">
        <f t="shared" si="1"/>
        <v>21.608627858627859</v>
      </c>
    </row>
    <row r="27" spans="2:10" ht="15" x14ac:dyDescent="0.25">
      <c r="B27" s="379">
        <v>41579</v>
      </c>
      <c r="C27" s="380">
        <v>10560</v>
      </c>
      <c r="D27" s="380">
        <v>371</v>
      </c>
      <c r="E27" s="380">
        <v>642</v>
      </c>
      <c r="F27" s="386">
        <f t="shared" si="0"/>
        <v>1013</v>
      </c>
      <c r="G27" s="382">
        <v>1842</v>
      </c>
      <c r="H27" s="383">
        <v>13415</v>
      </c>
      <c r="I27" s="383">
        <v>61195</v>
      </c>
      <c r="J27" s="385">
        <f t="shared" si="1"/>
        <v>21.921725631179015</v>
      </c>
    </row>
    <row r="28" spans="2:10" ht="15" x14ac:dyDescent="0.25">
      <c r="B28" s="379">
        <v>41609</v>
      </c>
      <c r="C28" s="380">
        <v>10482</v>
      </c>
      <c r="D28" s="380">
        <v>373</v>
      </c>
      <c r="E28" s="380">
        <v>664</v>
      </c>
      <c r="F28" s="386">
        <f t="shared" si="0"/>
        <v>1037</v>
      </c>
      <c r="G28" s="382">
        <v>1838</v>
      </c>
      <c r="H28" s="383">
        <v>13357</v>
      </c>
      <c r="I28" s="383">
        <v>61692</v>
      </c>
      <c r="J28" s="385">
        <f t="shared" si="1"/>
        <v>21.651105491797967</v>
      </c>
    </row>
    <row r="29" spans="2:10" ht="15" x14ac:dyDescent="0.25">
      <c r="B29" s="379">
        <v>41640</v>
      </c>
      <c r="C29" s="380">
        <v>10161</v>
      </c>
      <c r="D29" s="380">
        <v>375</v>
      </c>
      <c r="E29" s="380">
        <v>647</v>
      </c>
      <c r="F29" s="386">
        <f t="shared" si="0"/>
        <v>1022</v>
      </c>
      <c r="G29" s="382">
        <v>1765</v>
      </c>
      <c r="H29" s="383">
        <v>12948</v>
      </c>
      <c r="I29" s="383">
        <v>61261</v>
      </c>
      <c r="J29" s="385">
        <f t="shared" si="1"/>
        <v>21.135796020306557</v>
      </c>
    </row>
    <row r="30" spans="2:10" ht="15" x14ac:dyDescent="0.25">
      <c r="B30" s="379">
        <v>41671</v>
      </c>
      <c r="C30" s="380">
        <v>10296</v>
      </c>
      <c r="D30" s="380">
        <v>386</v>
      </c>
      <c r="E30" s="380">
        <v>621</v>
      </c>
      <c r="F30" s="386">
        <f t="shared" si="0"/>
        <v>1007</v>
      </c>
      <c r="G30" s="382">
        <v>1838</v>
      </c>
      <c r="H30" s="383">
        <v>13141</v>
      </c>
      <c r="I30" s="383">
        <v>61374</v>
      </c>
      <c r="J30" s="385">
        <f t="shared" si="1"/>
        <v>21.411346824388175</v>
      </c>
    </row>
    <row r="31" spans="2:10" ht="15" x14ac:dyDescent="0.25">
      <c r="B31" s="379">
        <v>41699</v>
      </c>
      <c r="C31" s="380">
        <v>10452</v>
      </c>
      <c r="D31" s="380">
        <v>422</v>
      </c>
      <c r="E31" s="380">
        <v>649</v>
      </c>
      <c r="F31" s="386">
        <f t="shared" si="0"/>
        <v>1071</v>
      </c>
      <c r="G31" s="382">
        <v>1920</v>
      </c>
      <c r="H31" s="383">
        <v>13443</v>
      </c>
      <c r="I31" s="383">
        <v>61932</v>
      </c>
      <c r="J31" s="385">
        <f t="shared" si="1"/>
        <v>21.706064716140283</v>
      </c>
    </row>
    <row r="32" spans="2:10" ht="15" x14ac:dyDescent="0.25">
      <c r="B32" s="379">
        <v>41730</v>
      </c>
      <c r="C32" s="380">
        <v>11234</v>
      </c>
      <c r="D32" s="380">
        <v>403</v>
      </c>
      <c r="E32" s="380">
        <v>647</v>
      </c>
      <c r="F32" s="386">
        <f t="shared" si="0"/>
        <v>1050</v>
      </c>
      <c r="G32" s="382">
        <v>1942</v>
      </c>
      <c r="H32" s="383">
        <v>14226</v>
      </c>
      <c r="I32" s="383">
        <v>62894</v>
      </c>
      <c r="J32" s="385">
        <f t="shared" si="1"/>
        <v>22.619009762457466</v>
      </c>
    </row>
    <row r="33" spans="2:10" ht="15" x14ac:dyDescent="0.25">
      <c r="B33" s="379">
        <v>41760</v>
      </c>
      <c r="C33" s="380">
        <v>11755</v>
      </c>
      <c r="D33" s="380">
        <v>409</v>
      </c>
      <c r="E33" s="380">
        <v>653</v>
      </c>
      <c r="F33" s="386">
        <f t="shared" si="0"/>
        <v>1062</v>
      </c>
      <c r="G33" s="382">
        <v>1937</v>
      </c>
      <c r="H33" s="383">
        <v>14754</v>
      </c>
      <c r="I33" s="383">
        <v>63556</v>
      </c>
      <c r="J33" s="385">
        <f t="shared" si="1"/>
        <v>23.21417332745925</v>
      </c>
    </row>
    <row r="34" spans="2:10" ht="15" x14ac:dyDescent="0.25">
      <c r="B34" s="379">
        <v>41791</v>
      </c>
      <c r="C34" s="380">
        <v>11586</v>
      </c>
      <c r="D34" s="380">
        <v>365</v>
      </c>
      <c r="E34" s="380">
        <v>640</v>
      </c>
      <c r="F34" s="386">
        <f t="shared" si="0"/>
        <v>1005</v>
      </c>
      <c r="G34" s="382">
        <v>1912</v>
      </c>
      <c r="H34" s="383">
        <v>14503</v>
      </c>
      <c r="I34" s="383">
        <v>63197</v>
      </c>
      <c r="J34" s="385">
        <f t="shared" si="1"/>
        <v>22.948874155418768</v>
      </c>
    </row>
    <row r="35" spans="2:10" ht="15" x14ac:dyDescent="0.25">
      <c r="B35" s="387">
        <v>41821</v>
      </c>
      <c r="C35" s="388">
        <v>11763</v>
      </c>
      <c r="D35" s="388">
        <v>406</v>
      </c>
      <c r="E35" s="388">
        <v>662</v>
      </c>
      <c r="F35" s="389">
        <f t="shared" si="0"/>
        <v>1068</v>
      </c>
      <c r="G35" s="390">
        <v>1951</v>
      </c>
      <c r="H35" s="391">
        <v>14782</v>
      </c>
      <c r="I35" s="391">
        <v>62947</v>
      </c>
      <c r="J35" s="392">
        <f t="shared" si="1"/>
        <v>23.483247811651072</v>
      </c>
    </row>
    <row r="36" spans="2:10" ht="15" x14ac:dyDescent="0.25">
      <c r="B36" s="393" t="s">
        <v>282</v>
      </c>
      <c r="C36" s="394"/>
      <c r="D36" s="394"/>
      <c r="E36" s="394"/>
      <c r="F36" s="395"/>
      <c r="G36" s="396"/>
      <c r="H36" s="396"/>
      <c r="I36" s="396"/>
      <c r="J36" s="397"/>
    </row>
    <row r="37" spans="2:10" x14ac:dyDescent="0.2">
      <c r="B37" s="398"/>
      <c r="C37" s="398"/>
      <c r="D37" s="398"/>
      <c r="E37" s="398"/>
      <c r="F37" s="398"/>
      <c r="G37" s="398"/>
      <c r="H37" s="398"/>
      <c r="I37" s="398"/>
      <c r="J37" s="398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&amp;LStatistiques mensuelles
&amp;Rpage 41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6"/>
  <sheetViews>
    <sheetView zoomScaleNormal="100" workbookViewId="0">
      <selection activeCell="K14" sqref="K14"/>
    </sheetView>
  </sheetViews>
  <sheetFormatPr baseColWidth="10" defaultRowHeight="12.75" x14ac:dyDescent="0.2"/>
  <cols>
    <col min="1" max="16384" width="11.42578125" style="361"/>
  </cols>
  <sheetData>
    <row r="1" spans="1:10" ht="18.75" x14ac:dyDescent="0.2">
      <c r="A1" s="358"/>
      <c r="B1" s="359" t="s">
        <v>245</v>
      </c>
    </row>
    <row r="2" spans="1:10" ht="18.75" x14ac:dyDescent="0.2">
      <c r="A2" s="358"/>
      <c r="B2" s="359" t="s">
        <v>246</v>
      </c>
    </row>
    <row r="3" spans="1:10" ht="15" x14ac:dyDescent="0.2">
      <c r="A3" s="358"/>
      <c r="B3" s="358"/>
    </row>
    <row r="4" spans="1:10" ht="15" x14ac:dyDescent="0.2">
      <c r="A4" s="363" t="s">
        <v>129</v>
      </c>
      <c r="B4" s="364" t="s">
        <v>260</v>
      </c>
      <c r="C4" s="399"/>
      <c r="D4" s="399"/>
      <c r="E4" s="399"/>
      <c r="F4" s="399"/>
      <c r="G4" s="399"/>
      <c r="H4" s="399"/>
    </row>
    <row r="5" spans="1:10" ht="15" x14ac:dyDescent="0.2">
      <c r="A5" s="366" t="s">
        <v>131</v>
      </c>
      <c r="B5" s="367" t="s">
        <v>283</v>
      </c>
      <c r="C5" s="400"/>
      <c r="D5" s="400"/>
      <c r="E5" s="400"/>
      <c r="F5" s="400"/>
      <c r="G5" s="400"/>
      <c r="H5" s="400"/>
      <c r="I5" s="400"/>
      <c r="J5" s="400"/>
    </row>
    <row r="6" spans="1:10" ht="15" x14ac:dyDescent="0.2">
      <c r="A6" s="366" t="s">
        <v>132</v>
      </c>
      <c r="B6" s="367" t="s">
        <v>133</v>
      </c>
      <c r="C6" s="400"/>
      <c r="D6" s="400"/>
      <c r="E6" s="400"/>
      <c r="F6" s="400"/>
      <c r="G6" s="400"/>
      <c r="H6" s="400"/>
      <c r="I6" s="400"/>
      <c r="J6" s="400"/>
    </row>
  </sheetData>
  <pageMargins left="0.78740157499999996" right="0.78740157499999996" top="0.984251969" bottom="0.984251969" header="0.4921259845" footer="0.4921259845"/>
  <pageSetup paperSize="9" scale="87" orientation="landscape" r:id="rId1"/>
  <headerFooter alignWithMargins="0">
    <oddFooter>&amp;LStatistiques mensuelles&amp;Rpage 42</oddFooter>
  </headerFooter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topLeftCell="A34" zoomScaleNormal="100" workbookViewId="0"/>
  </sheetViews>
  <sheetFormatPr baseColWidth="10" defaultRowHeight="12.75" x14ac:dyDescent="0.2"/>
  <cols>
    <col min="1" max="1" width="11.42578125" style="361"/>
    <col min="2" max="8" width="11.28515625" style="361" customWidth="1"/>
    <col min="9" max="9" width="1.85546875" style="361" customWidth="1"/>
    <col min="10" max="13" width="11.28515625" style="361" customWidth="1"/>
    <col min="14" max="16384" width="11.42578125" style="361"/>
  </cols>
  <sheetData>
    <row r="1" spans="1:14" ht="18.75" x14ac:dyDescent="0.2">
      <c r="A1" s="358"/>
      <c r="B1" s="359" t="s">
        <v>248</v>
      </c>
      <c r="C1" s="359"/>
      <c r="D1" s="359"/>
      <c r="E1" s="359"/>
      <c r="F1" s="358"/>
    </row>
    <row r="2" spans="1:14" ht="18.75" x14ac:dyDescent="0.2">
      <c r="A2" s="358"/>
      <c r="B2" s="359" t="s">
        <v>249</v>
      </c>
      <c r="C2" s="359"/>
      <c r="D2" s="359"/>
      <c r="E2" s="359"/>
      <c r="F2" s="358"/>
    </row>
    <row r="3" spans="1:14" ht="15" x14ac:dyDescent="0.2">
      <c r="A3" s="358"/>
      <c r="B3" s="401"/>
      <c r="C3" s="358"/>
      <c r="D3" s="358"/>
      <c r="E3" s="358"/>
      <c r="F3" s="358"/>
    </row>
    <row r="4" spans="1:14" ht="13.5" x14ac:dyDescent="0.2">
      <c r="A4" s="402" t="s">
        <v>129</v>
      </c>
      <c r="B4" s="403" t="s">
        <v>260</v>
      </c>
      <c r="C4" s="404"/>
      <c r="D4" s="404"/>
      <c r="E4" s="404"/>
      <c r="F4" s="404"/>
    </row>
    <row r="5" spans="1:14" ht="13.5" x14ac:dyDescent="0.2">
      <c r="A5" s="402" t="s">
        <v>131</v>
      </c>
      <c r="B5" s="405" t="s">
        <v>283</v>
      </c>
      <c r="C5" s="406"/>
      <c r="D5" s="406"/>
      <c r="E5" s="406"/>
      <c r="F5" s="406"/>
      <c r="G5" s="406"/>
      <c r="H5" s="406"/>
      <c r="I5" s="406"/>
      <c r="J5" s="406"/>
      <c r="K5" s="406"/>
      <c r="L5" s="406"/>
      <c r="M5" s="406"/>
      <c r="N5" s="406"/>
    </row>
    <row r="6" spans="1:14" ht="13.5" x14ac:dyDescent="0.2">
      <c r="A6" s="407" t="s">
        <v>132</v>
      </c>
      <c r="B6" s="405" t="s">
        <v>133</v>
      </c>
      <c r="C6" s="406"/>
      <c r="D6" s="406"/>
      <c r="E6" s="406"/>
      <c r="F6" s="406"/>
      <c r="G6" s="406"/>
      <c r="H6" s="406"/>
      <c r="I6" s="406"/>
      <c r="J6" s="406"/>
      <c r="K6" s="406"/>
      <c r="L6" s="406"/>
      <c r="M6" s="406"/>
      <c r="N6" s="406"/>
    </row>
    <row r="7" spans="1:14" ht="13.5" thickBot="1" x14ac:dyDescent="0.25"/>
    <row r="8" spans="1:14" ht="76.5" customHeight="1" thickBot="1" x14ac:dyDescent="0.25">
      <c r="B8" s="408" t="s">
        <v>140</v>
      </c>
      <c r="C8" s="409" t="s">
        <v>141</v>
      </c>
      <c r="D8" s="410" t="s">
        <v>261</v>
      </c>
      <c r="E8" s="411" t="s">
        <v>262</v>
      </c>
      <c r="F8" s="412" t="s">
        <v>263</v>
      </c>
      <c r="G8" s="410" t="s">
        <v>264</v>
      </c>
      <c r="H8" s="413" t="s">
        <v>265</v>
      </c>
      <c r="I8" s="414"/>
      <c r="J8" s="408" t="s">
        <v>266</v>
      </c>
      <c r="K8" s="412" t="s">
        <v>267</v>
      </c>
      <c r="L8" s="415" t="s">
        <v>268</v>
      </c>
      <c r="M8" s="413" t="s">
        <v>269</v>
      </c>
      <c r="N8" s="410" t="s">
        <v>270</v>
      </c>
    </row>
    <row r="9" spans="1:14" x14ac:dyDescent="0.2">
      <c r="B9" s="416">
        <v>40725</v>
      </c>
      <c r="C9" s="417">
        <v>16789</v>
      </c>
      <c r="D9" s="418">
        <v>47937</v>
      </c>
      <c r="E9" s="419">
        <v>1874</v>
      </c>
      <c r="F9" s="420">
        <v>416</v>
      </c>
      <c r="G9" s="421">
        <v>64726</v>
      </c>
      <c r="H9" s="422">
        <v>-0.37709131766480164</v>
      </c>
      <c r="I9" s="423"/>
      <c r="J9" s="424">
        <v>8594</v>
      </c>
      <c r="K9" s="425">
        <v>7971</v>
      </c>
      <c r="L9" s="426">
        <v>623</v>
      </c>
      <c r="M9" s="422">
        <v>3.4673729833855083</v>
      </c>
      <c r="N9" s="427">
        <f>J9+G9</f>
        <v>73320</v>
      </c>
    </row>
    <row r="10" spans="1:14" x14ac:dyDescent="0.2">
      <c r="B10" s="416">
        <v>40756</v>
      </c>
      <c r="C10" s="417">
        <v>16113</v>
      </c>
      <c r="D10" s="418">
        <v>47940</v>
      </c>
      <c r="E10" s="419">
        <v>1880</v>
      </c>
      <c r="F10" s="420">
        <v>417</v>
      </c>
      <c r="G10" s="421">
        <v>64053</v>
      </c>
      <c r="H10" s="422">
        <v>-1.0397676358804842</v>
      </c>
      <c r="I10" s="423"/>
      <c r="J10" s="424">
        <v>8561</v>
      </c>
      <c r="K10" s="425">
        <v>7945</v>
      </c>
      <c r="L10" s="426">
        <v>616</v>
      </c>
      <c r="M10" s="422">
        <v>-0.38398882941587109</v>
      </c>
      <c r="N10" s="427">
        <f t="shared" ref="N10:N45" si="0">J10+G10</f>
        <v>72614</v>
      </c>
    </row>
    <row r="11" spans="1:14" x14ac:dyDescent="0.2">
      <c r="B11" s="416">
        <v>40787</v>
      </c>
      <c r="C11" s="417">
        <v>16056</v>
      </c>
      <c r="D11" s="418">
        <v>47546</v>
      </c>
      <c r="E11" s="419">
        <v>1781</v>
      </c>
      <c r="F11" s="420">
        <v>397</v>
      </c>
      <c r="G11" s="421">
        <v>63602</v>
      </c>
      <c r="H11" s="422">
        <v>-0.70410441353254694</v>
      </c>
      <c r="I11" s="423"/>
      <c r="J11" s="424">
        <v>8140</v>
      </c>
      <c r="K11" s="425">
        <v>7564</v>
      </c>
      <c r="L11" s="426">
        <v>576</v>
      </c>
      <c r="M11" s="422">
        <v>-4.9176498072655122</v>
      </c>
      <c r="N11" s="427">
        <f t="shared" si="0"/>
        <v>71742</v>
      </c>
    </row>
    <row r="12" spans="1:14" x14ac:dyDescent="0.2">
      <c r="B12" s="416">
        <v>40817</v>
      </c>
      <c r="C12" s="417">
        <v>16457</v>
      </c>
      <c r="D12" s="418">
        <v>47690</v>
      </c>
      <c r="E12" s="419">
        <v>1867</v>
      </c>
      <c r="F12" s="420">
        <v>413</v>
      </c>
      <c r="G12" s="421">
        <v>64147</v>
      </c>
      <c r="H12" s="422">
        <v>0.85689129272663589</v>
      </c>
      <c r="I12" s="423"/>
      <c r="J12" s="424">
        <v>8179</v>
      </c>
      <c r="K12" s="425">
        <v>7605</v>
      </c>
      <c r="L12" s="426">
        <v>574</v>
      </c>
      <c r="M12" s="422">
        <v>0.47911547911547725</v>
      </c>
      <c r="N12" s="427">
        <f t="shared" si="0"/>
        <v>72326</v>
      </c>
    </row>
    <row r="13" spans="1:14" x14ac:dyDescent="0.2">
      <c r="B13" s="416">
        <v>40848</v>
      </c>
      <c r="C13" s="417">
        <v>16456</v>
      </c>
      <c r="D13" s="418">
        <v>48255</v>
      </c>
      <c r="E13" s="419">
        <v>1917</v>
      </c>
      <c r="F13" s="420">
        <v>382</v>
      </c>
      <c r="G13" s="421">
        <v>64711</v>
      </c>
      <c r="H13" s="422">
        <v>0.87923051740532721</v>
      </c>
      <c r="I13" s="423"/>
      <c r="J13" s="424">
        <v>8438</v>
      </c>
      <c r="K13" s="425">
        <v>7886</v>
      </c>
      <c r="L13" s="426">
        <v>552</v>
      </c>
      <c r="M13" s="422">
        <v>3.1666462892774083</v>
      </c>
      <c r="N13" s="427">
        <f t="shared" si="0"/>
        <v>73149</v>
      </c>
    </row>
    <row r="14" spans="1:14" x14ac:dyDescent="0.2">
      <c r="B14" s="416">
        <v>40878</v>
      </c>
      <c r="C14" s="417">
        <v>16587</v>
      </c>
      <c r="D14" s="418">
        <v>48675</v>
      </c>
      <c r="E14" s="419">
        <v>1908</v>
      </c>
      <c r="F14" s="420">
        <v>410</v>
      </c>
      <c r="G14" s="421">
        <v>65262</v>
      </c>
      <c r="H14" s="422">
        <v>0.85147811036763166</v>
      </c>
      <c r="I14" s="423"/>
      <c r="J14" s="424">
        <v>8846</v>
      </c>
      <c r="K14" s="425">
        <v>8267</v>
      </c>
      <c r="L14" s="426">
        <v>579</v>
      </c>
      <c r="M14" s="422">
        <v>4.8352690210950566</v>
      </c>
      <c r="N14" s="427">
        <f t="shared" si="0"/>
        <v>74108</v>
      </c>
    </row>
    <row r="15" spans="1:14" x14ac:dyDescent="0.2">
      <c r="B15" s="416">
        <v>40909</v>
      </c>
      <c r="C15" s="417">
        <v>16279</v>
      </c>
      <c r="D15" s="418">
        <v>48508</v>
      </c>
      <c r="E15" s="419">
        <v>1857</v>
      </c>
      <c r="F15" s="420">
        <v>371</v>
      </c>
      <c r="G15" s="421">
        <v>64787</v>
      </c>
      <c r="H15" s="422">
        <v>-0.72783549385553314</v>
      </c>
      <c r="I15" s="423"/>
      <c r="J15" s="424">
        <v>8993</v>
      </c>
      <c r="K15" s="425">
        <v>8417</v>
      </c>
      <c r="L15" s="426">
        <v>576</v>
      </c>
      <c r="M15" s="422">
        <v>1.6617680307483562</v>
      </c>
      <c r="N15" s="427">
        <f t="shared" si="0"/>
        <v>73780</v>
      </c>
    </row>
    <row r="16" spans="1:14" x14ac:dyDescent="0.2">
      <c r="B16" s="416">
        <v>40940</v>
      </c>
      <c r="C16" s="417">
        <v>16463</v>
      </c>
      <c r="D16" s="418">
        <v>49236</v>
      </c>
      <c r="E16" s="419">
        <v>1954</v>
      </c>
      <c r="F16" s="420">
        <v>337</v>
      </c>
      <c r="G16" s="421">
        <v>65699</v>
      </c>
      <c r="H16" s="422">
        <v>1.4076898143146055</v>
      </c>
      <c r="I16" s="423"/>
      <c r="J16" s="424">
        <v>9523</v>
      </c>
      <c r="K16" s="425">
        <v>8924</v>
      </c>
      <c r="L16" s="426">
        <v>599</v>
      </c>
      <c r="M16" s="422">
        <v>5.8934727009896548</v>
      </c>
      <c r="N16" s="427">
        <f t="shared" si="0"/>
        <v>75222</v>
      </c>
    </row>
    <row r="17" spans="2:14" x14ac:dyDescent="0.2">
      <c r="B17" s="416">
        <v>40969</v>
      </c>
      <c r="C17" s="417">
        <v>16512</v>
      </c>
      <c r="D17" s="418">
        <v>49933</v>
      </c>
      <c r="E17" s="419">
        <v>2036</v>
      </c>
      <c r="F17" s="420">
        <v>376</v>
      </c>
      <c r="G17" s="421">
        <v>66445</v>
      </c>
      <c r="H17" s="422">
        <v>1.1354815141783048</v>
      </c>
      <c r="I17" s="423"/>
      <c r="J17" s="424">
        <v>9983</v>
      </c>
      <c r="K17" s="425">
        <v>9370</v>
      </c>
      <c r="L17" s="426">
        <v>613</v>
      </c>
      <c r="M17" s="422">
        <v>4.8304105848997247</v>
      </c>
      <c r="N17" s="427">
        <f t="shared" si="0"/>
        <v>76428</v>
      </c>
    </row>
    <row r="18" spans="2:14" x14ac:dyDescent="0.2">
      <c r="B18" s="416">
        <v>41000</v>
      </c>
      <c r="C18" s="417">
        <v>17027</v>
      </c>
      <c r="D18" s="418">
        <v>50134</v>
      </c>
      <c r="E18" s="419">
        <v>2020</v>
      </c>
      <c r="F18" s="420">
        <v>401</v>
      </c>
      <c r="G18" s="421">
        <v>67161</v>
      </c>
      <c r="H18" s="422">
        <v>1.0775829633531409</v>
      </c>
      <c r="I18" s="423"/>
      <c r="J18" s="424">
        <v>10427</v>
      </c>
      <c r="K18" s="425">
        <v>9774</v>
      </c>
      <c r="L18" s="426">
        <v>653</v>
      </c>
      <c r="M18" s="422">
        <v>4.4475608534508604</v>
      </c>
      <c r="N18" s="427">
        <f t="shared" si="0"/>
        <v>77588</v>
      </c>
    </row>
    <row r="19" spans="2:14" x14ac:dyDescent="0.2">
      <c r="B19" s="416">
        <v>41030</v>
      </c>
      <c r="C19" s="417">
        <v>16773</v>
      </c>
      <c r="D19" s="418">
        <v>50300</v>
      </c>
      <c r="E19" s="419">
        <v>2064</v>
      </c>
      <c r="F19" s="420">
        <v>405</v>
      </c>
      <c r="G19" s="421">
        <v>67073</v>
      </c>
      <c r="H19" s="422">
        <v>-0.13102842423430294</v>
      </c>
      <c r="I19" s="423"/>
      <c r="J19" s="424">
        <v>10679</v>
      </c>
      <c r="K19" s="425">
        <v>10036</v>
      </c>
      <c r="L19" s="426">
        <v>643</v>
      </c>
      <c r="M19" s="422">
        <v>2.4168025318883624</v>
      </c>
      <c r="N19" s="427">
        <f t="shared" si="0"/>
        <v>77752</v>
      </c>
    </row>
    <row r="20" spans="2:14" x14ac:dyDescent="0.2">
      <c r="B20" s="416">
        <v>41061</v>
      </c>
      <c r="C20" s="417">
        <v>16756</v>
      </c>
      <c r="D20" s="418">
        <v>50159</v>
      </c>
      <c r="E20" s="419">
        <v>2060</v>
      </c>
      <c r="F20" s="420">
        <v>413</v>
      </c>
      <c r="G20" s="421">
        <v>66915</v>
      </c>
      <c r="H20" s="422">
        <v>-0.23556423598168896</v>
      </c>
      <c r="I20" s="423"/>
      <c r="J20" s="424">
        <v>10759</v>
      </c>
      <c r="K20" s="425">
        <v>10111</v>
      </c>
      <c r="L20" s="426">
        <v>648</v>
      </c>
      <c r="M20" s="422">
        <v>0.74913381402752499</v>
      </c>
      <c r="N20" s="427">
        <f t="shared" si="0"/>
        <v>77674</v>
      </c>
    </row>
    <row r="21" spans="2:14" x14ac:dyDescent="0.2">
      <c r="B21" s="416">
        <v>41091</v>
      </c>
      <c r="C21" s="417">
        <v>17138</v>
      </c>
      <c r="D21" s="418">
        <v>50235</v>
      </c>
      <c r="E21" s="419">
        <v>1993</v>
      </c>
      <c r="F21" s="420">
        <v>344</v>
      </c>
      <c r="G21" s="421">
        <v>67373</v>
      </c>
      <c r="H21" s="422">
        <v>0.68445042217739616</v>
      </c>
      <c r="I21" s="423"/>
      <c r="J21" s="424">
        <v>10889</v>
      </c>
      <c r="K21" s="425">
        <v>10244</v>
      </c>
      <c r="L21" s="426">
        <v>645</v>
      </c>
      <c r="M21" s="422">
        <v>1.2082907333395232</v>
      </c>
      <c r="N21" s="427">
        <f t="shared" si="0"/>
        <v>78262</v>
      </c>
    </row>
    <row r="22" spans="2:14" x14ac:dyDescent="0.2">
      <c r="B22" s="416">
        <v>41122</v>
      </c>
      <c r="C22" s="417">
        <v>16467</v>
      </c>
      <c r="D22" s="418">
        <v>50281</v>
      </c>
      <c r="E22" s="419">
        <v>1916</v>
      </c>
      <c r="F22" s="420">
        <v>397</v>
      </c>
      <c r="G22" s="421">
        <v>66748</v>
      </c>
      <c r="H22" s="422">
        <v>-0.92767132233980698</v>
      </c>
      <c r="I22" s="423"/>
      <c r="J22" s="424">
        <v>10737</v>
      </c>
      <c r="K22" s="425">
        <v>10104</v>
      </c>
      <c r="L22" s="426">
        <v>633</v>
      </c>
      <c r="M22" s="422">
        <v>-1.3959041234273162</v>
      </c>
      <c r="N22" s="427">
        <f t="shared" si="0"/>
        <v>77485</v>
      </c>
    </row>
    <row r="23" spans="2:14" x14ac:dyDescent="0.2">
      <c r="B23" s="416">
        <v>41153</v>
      </c>
      <c r="C23" s="417">
        <v>16266</v>
      </c>
      <c r="D23" s="418">
        <v>49860</v>
      </c>
      <c r="E23" s="419">
        <v>1813</v>
      </c>
      <c r="F23" s="420">
        <v>406</v>
      </c>
      <c r="G23" s="421">
        <v>66126</v>
      </c>
      <c r="H23" s="422">
        <v>-0.93186312698507745</v>
      </c>
      <c r="I23" s="423"/>
      <c r="J23" s="424">
        <v>9948</v>
      </c>
      <c r="K23" s="425">
        <v>9390</v>
      </c>
      <c r="L23" s="426">
        <v>558</v>
      </c>
      <c r="M23" s="422">
        <v>-7.3484213467449049</v>
      </c>
      <c r="N23" s="427">
        <f t="shared" si="0"/>
        <v>76074</v>
      </c>
    </row>
    <row r="24" spans="2:14" x14ac:dyDescent="0.2">
      <c r="B24" s="416">
        <v>41183</v>
      </c>
      <c r="C24" s="417">
        <v>16915</v>
      </c>
      <c r="D24" s="418">
        <v>49789</v>
      </c>
      <c r="E24" s="419">
        <v>1834</v>
      </c>
      <c r="F24" s="420">
        <v>390</v>
      </c>
      <c r="G24" s="421">
        <v>66704</v>
      </c>
      <c r="H24" s="422">
        <v>0.87408886065996061</v>
      </c>
      <c r="I24" s="423"/>
      <c r="J24" s="424">
        <v>9703</v>
      </c>
      <c r="K24" s="425">
        <v>9105</v>
      </c>
      <c r="L24" s="426">
        <v>598</v>
      </c>
      <c r="M24" s="422">
        <v>-2.4628065942903121</v>
      </c>
      <c r="N24" s="427">
        <f t="shared" si="0"/>
        <v>76407</v>
      </c>
    </row>
    <row r="25" spans="2:14" x14ac:dyDescent="0.2">
      <c r="B25" s="416">
        <v>41214</v>
      </c>
      <c r="C25" s="417">
        <v>16821</v>
      </c>
      <c r="D25" s="418">
        <v>50404</v>
      </c>
      <c r="E25" s="419">
        <v>1845</v>
      </c>
      <c r="F25" s="420">
        <v>368</v>
      </c>
      <c r="G25" s="421">
        <v>67225</v>
      </c>
      <c r="H25" s="422">
        <v>0.78106260494124058</v>
      </c>
      <c r="I25" s="423"/>
      <c r="J25" s="424">
        <v>10057</v>
      </c>
      <c r="K25" s="425">
        <v>9470</v>
      </c>
      <c r="L25" s="426">
        <v>587</v>
      </c>
      <c r="M25" s="422">
        <v>3.6483561785014995</v>
      </c>
      <c r="N25" s="427">
        <f t="shared" si="0"/>
        <v>77282</v>
      </c>
    </row>
    <row r="26" spans="2:14" x14ac:dyDescent="0.2">
      <c r="B26" s="416">
        <v>41244</v>
      </c>
      <c r="C26" s="417">
        <v>16945</v>
      </c>
      <c r="D26" s="418">
        <v>50729</v>
      </c>
      <c r="E26" s="419">
        <v>1903</v>
      </c>
      <c r="F26" s="420">
        <v>416</v>
      </c>
      <c r="G26" s="421">
        <v>67674</v>
      </c>
      <c r="H26" s="422">
        <v>0.6679062848642614</v>
      </c>
      <c r="I26" s="423"/>
      <c r="J26" s="424">
        <v>10408</v>
      </c>
      <c r="K26" s="425">
        <v>9840</v>
      </c>
      <c r="L26" s="426">
        <v>568</v>
      </c>
      <c r="M26" s="422">
        <v>3.4901063935567356</v>
      </c>
      <c r="N26" s="427">
        <f t="shared" si="0"/>
        <v>78082</v>
      </c>
    </row>
    <row r="27" spans="2:14" x14ac:dyDescent="0.2">
      <c r="B27" s="416">
        <v>41275</v>
      </c>
      <c r="C27" s="418">
        <v>16454</v>
      </c>
      <c r="D27" s="428">
        <v>50118</v>
      </c>
      <c r="E27" s="419">
        <v>1785</v>
      </c>
      <c r="F27" s="420">
        <v>403</v>
      </c>
      <c r="G27" s="421">
        <v>66572</v>
      </c>
      <c r="H27" s="422">
        <v>-1.6283949522711838</v>
      </c>
      <c r="I27" s="423"/>
      <c r="J27" s="424">
        <v>10226</v>
      </c>
      <c r="K27" s="425">
        <v>9653</v>
      </c>
      <c r="L27" s="426">
        <v>573</v>
      </c>
      <c r="M27" s="422">
        <v>-1.7486548808608782</v>
      </c>
      <c r="N27" s="427">
        <f t="shared" si="0"/>
        <v>76798</v>
      </c>
    </row>
    <row r="28" spans="2:14" x14ac:dyDescent="0.2">
      <c r="B28" s="416">
        <v>41306</v>
      </c>
      <c r="C28" s="418">
        <v>16754</v>
      </c>
      <c r="D28" s="428">
        <v>49992</v>
      </c>
      <c r="E28" s="419">
        <v>1867</v>
      </c>
      <c r="F28" s="420">
        <v>405</v>
      </c>
      <c r="G28" s="421">
        <v>66746</v>
      </c>
      <c r="H28" s="422">
        <v>0.26137114702877717</v>
      </c>
      <c r="I28" s="423"/>
      <c r="J28" s="424">
        <v>10794</v>
      </c>
      <c r="K28" s="425">
        <v>10197</v>
      </c>
      <c r="L28" s="426">
        <v>597</v>
      </c>
      <c r="M28" s="422">
        <v>5.554469000586737</v>
      </c>
      <c r="N28" s="427">
        <f t="shared" si="0"/>
        <v>77540</v>
      </c>
    </row>
    <row r="29" spans="2:14" x14ac:dyDescent="0.2">
      <c r="B29" s="416">
        <v>41334</v>
      </c>
      <c r="C29" s="418">
        <v>16799</v>
      </c>
      <c r="D29" s="428">
        <v>50196</v>
      </c>
      <c r="E29" s="419">
        <v>1921</v>
      </c>
      <c r="F29" s="420">
        <v>404</v>
      </c>
      <c r="G29" s="421">
        <v>66995</v>
      </c>
      <c r="H29" s="422">
        <v>0.37305606328468244</v>
      </c>
      <c r="I29" s="423"/>
      <c r="J29" s="424">
        <v>11213</v>
      </c>
      <c r="K29" s="425">
        <v>10615</v>
      </c>
      <c r="L29" s="426">
        <v>598</v>
      </c>
      <c r="M29" s="422">
        <v>3.8817861775060303</v>
      </c>
      <c r="N29" s="427">
        <f t="shared" si="0"/>
        <v>78208</v>
      </c>
    </row>
    <row r="30" spans="2:14" x14ac:dyDescent="0.2">
      <c r="B30" s="416">
        <v>41365</v>
      </c>
      <c r="C30" s="418">
        <v>17166</v>
      </c>
      <c r="D30" s="428">
        <v>50327</v>
      </c>
      <c r="E30" s="419">
        <v>1942</v>
      </c>
      <c r="F30" s="420">
        <v>442</v>
      </c>
      <c r="G30" s="421">
        <v>67493</v>
      </c>
      <c r="H30" s="422">
        <v>0.74333905515338028</v>
      </c>
      <c r="I30" s="423"/>
      <c r="J30" s="424">
        <v>11504</v>
      </c>
      <c r="K30" s="425">
        <v>10919</v>
      </c>
      <c r="L30" s="426">
        <v>585</v>
      </c>
      <c r="M30" s="422">
        <v>2.5952019976812624</v>
      </c>
      <c r="N30" s="427">
        <f t="shared" si="0"/>
        <v>78997</v>
      </c>
    </row>
    <row r="31" spans="2:14" x14ac:dyDescent="0.2">
      <c r="B31" s="416">
        <v>41395</v>
      </c>
      <c r="C31" s="418">
        <v>16987</v>
      </c>
      <c r="D31" s="428">
        <v>50852</v>
      </c>
      <c r="E31" s="419">
        <v>2041</v>
      </c>
      <c r="F31" s="420">
        <v>435</v>
      </c>
      <c r="G31" s="421">
        <v>67839</v>
      </c>
      <c r="H31" s="422">
        <v>0.51264575585616701</v>
      </c>
      <c r="I31" s="423"/>
      <c r="J31" s="424">
        <v>12073</v>
      </c>
      <c r="K31" s="425">
        <v>11438</v>
      </c>
      <c r="L31" s="426">
        <v>635</v>
      </c>
      <c r="M31" s="422">
        <v>4.9461057023644006</v>
      </c>
      <c r="N31" s="427">
        <f t="shared" si="0"/>
        <v>79912</v>
      </c>
    </row>
    <row r="32" spans="2:14" x14ac:dyDescent="0.2">
      <c r="B32" s="416">
        <v>41426</v>
      </c>
      <c r="C32" s="418">
        <v>17195</v>
      </c>
      <c r="D32" s="428">
        <v>50782</v>
      </c>
      <c r="E32" s="419">
        <v>2000</v>
      </c>
      <c r="F32" s="420">
        <v>416</v>
      </c>
      <c r="G32" s="421">
        <v>67977</v>
      </c>
      <c r="H32" s="422">
        <v>0.20342280988812078</v>
      </c>
      <c r="I32" s="423"/>
      <c r="J32" s="424">
        <v>12181</v>
      </c>
      <c r="K32" s="425">
        <v>11559</v>
      </c>
      <c r="L32" s="426">
        <v>622</v>
      </c>
      <c r="M32" s="422">
        <v>0.89455810486209764</v>
      </c>
      <c r="N32" s="427">
        <f t="shared" si="0"/>
        <v>80158</v>
      </c>
    </row>
    <row r="33" spans="2:14" x14ac:dyDescent="0.2">
      <c r="B33" s="416">
        <v>41456</v>
      </c>
      <c r="C33" s="418">
        <v>17318</v>
      </c>
      <c r="D33" s="428">
        <v>51251</v>
      </c>
      <c r="E33" s="419">
        <v>1993</v>
      </c>
      <c r="F33" s="420">
        <v>405</v>
      </c>
      <c r="G33" s="421">
        <v>68569</v>
      </c>
      <c r="H33" s="422">
        <v>0.87088279859364182</v>
      </c>
      <c r="I33" s="423"/>
      <c r="J33" s="424">
        <v>12131</v>
      </c>
      <c r="K33" s="425">
        <v>11475</v>
      </c>
      <c r="L33" s="426">
        <v>656</v>
      </c>
      <c r="M33" s="422">
        <v>-0.41047533043263584</v>
      </c>
      <c r="N33" s="427">
        <f t="shared" si="0"/>
        <v>80700</v>
      </c>
    </row>
    <row r="34" spans="2:14" x14ac:dyDescent="0.2">
      <c r="B34" s="416">
        <v>41487</v>
      </c>
      <c r="C34" s="418">
        <v>16454</v>
      </c>
      <c r="D34" s="428">
        <v>51229</v>
      </c>
      <c r="E34" s="419">
        <v>1939</v>
      </c>
      <c r="F34" s="420">
        <v>380</v>
      </c>
      <c r="G34" s="421">
        <v>67683</v>
      </c>
      <c r="H34" s="422">
        <v>-1.2921290962388254</v>
      </c>
      <c r="I34" s="423"/>
      <c r="J34" s="424">
        <v>12084</v>
      </c>
      <c r="K34" s="425">
        <v>11465</v>
      </c>
      <c r="L34" s="426">
        <v>619</v>
      </c>
      <c r="M34" s="422">
        <v>-0.38743714450580891</v>
      </c>
      <c r="N34" s="427">
        <f t="shared" si="0"/>
        <v>79767</v>
      </c>
    </row>
    <row r="35" spans="2:14" x14ac:dyDescent="0.2">
      <c r="B35" s="416">
        <v>41518</v>
      </c>
      <c r="C35" s="418">
        <v>16604</v>
      </c>
      <c r="D35" s="428">
        <v>50484</v>
      </c>
      <c r="E35" s="419">
        <v>1813</v>
      </c>
      <c r="F35" s="420">
        <v>374</v>
      </c>
      <c r="G35" s="421">
        <v>67088</v>
      </c>
      <c r="H35" s="422">
        <v>-0.8790981487227234</v>
      </c>
      <c r="I35" s="423"/>
      <c r="J35" s="424">
        <v>11226</v>
      </c>
      <c r="K35" s="425">
        <v>10646</v>
      </c>
      <c r="L35" s="426">
        <v>580</v>
      </c>
      <c r="M35" s="422">
        <v>-7.1002979145978191</v>
      </c>
      <c r="N35" s="427">
        <f t="shared" si="0"/>
        <v>78314</v>
      </c>
    </row>
    <row r="36" spans="2:14" x14ac:dyDescent="0.2">
      <c r="B36" s="416">
        <v>41548</v>
      </c>
      <c r="C36" s="418">
        <v>16795</v>
      </c>
      <c r="D36" s="428">
        <v>50515</v>
      </c>
      <c r="E36" s="419">
        <v>1860</v>
      </c>
      <c r="F36" s="420">
        <v>391</v>
      </c>
      <c r="G36" s="421">
        <v>67310</v>
      </c>
      <c r="H36" s="422">
        <v>0.33090865728595542</v>
      </c>
      <c r="I36" s="423"/>
      <c r="J36" s="424">
        <v>11053</v>
      </c>
      <c r="K36" s="425">
        <v>10451</v>
      </c>
      <c r="L36" s="426">
        <v>602</v>
      </c>
      <c r="M36" s="422">
        <v>-1.5410653839301625</v>
      </c>
      <c r="N36" s="427">
        <f t="shared" si="0"/>
        <v>78363</v>
      </c>
    </row>
    <row r="37" spans="2:14" x14ac:dyDescent="0.2">
      <c r="B37" s="416">
        <v>41579</v>
      </c>
      <c r="C37" s="418">
        <v>17057</v>
      </c>
      <c r="D37" s="428">
        <v>49993</v>
      </c>
      <c r="E37" s="419">
        <v>1842</v>
      </c>
      <c r="F37" s="420">
        <v>371</v>
      </c>
      <c r="G37" s="421">
        <v>67050</v>
      </c>
      <c r="H37" s="422">
        <v>-0.38627247065814441</v>
      </c>
      <c r="I37" s="423"/>
      <c r="J37" s="424">
        <v>11202</v>
      </c>
      <c r="K37" s="425">
        <v>10560</v>
      </c>
      <c r="L37" s="426">
        <v>642</v>
      </c>
      <c r="M37" s="422">
        <v>1.3480503030851354</v>
      </c>
      <c r="N37" s="427">
        <f t="shared" si="0"/>
        <v>78252</v>
      </c>
    </row>
    <row r="38" spans="2:14" x14ac:dyDescent="0.2">
      <c r="B38" s="416">
        <v>41609</v>
      </c>
      <c r="C38" s="418">
        <v>17192</v>
      </c>
      <c r="D38" s="428">
        <v>50546</v>
      </c>
      <c r="E38" s="419">
        <v>1838</v>
      </c>
      <c r="F38" s="420">
        <v>373</v>
      </c>
      <c r="G38" s="421">
        <v>67738</v>
      </c>
      <c r="H38" s="422">
        <v>1.0260999254287917</v>
      </c>
      <c r="I38" s="423"/>
      <c r="J38" s="424">
        <v>11146</v>
      </c>
      <c r="K38" s="425">
        <v>10482</v>
      </c>
      <c r="L38" s="426">
        <v>664</v>
      </c>
      <c r="M38" s="422">
        <v>-0.49991073022674914</v>
      </c>
      <c r="N38" s="427">
        <f t="shared" si="0"/>
        <v>78884</v>
      </c>
    </row>
    <row r="39" spans="2:14" x14ac:dyDescent="0.2">
      <c r="B39" s="416">
        <v>41640</v>
      </c>
      <c r="C39" s="418">
        <v>16622</v>
      </c>
      <c r="D39" s="428">
        <v>50453</v>
      </c>
      <c r="E39" s="419">
        <v>1765</v>
      </c>
      <c r="F39" s="420">
        <v>375</v>
      </c>
      <c r="G39" s="421">
        <v>67075</v>
      </c>
      <c r="H39" s="422">
        <v>-0.97877114765715367</v>
      </c>
      <c r="I39" s="423"/>
      <c r="J39" s="424">
        <v>10808</v>
      </c>
      <c r="K39" s="425">
        <v>10161</v>
      </c>
      <c r="L39" s="426">
        <v>647</v>
      </c>
      <c r="M39" s="422">
        <v>-3.0324780190202794</v>
      </c>
      <c r="N39" s="427">
        <f t="shared" si="0"/>
        <v>77883</v>
      </c>
    </row>
    <row r="40" spans="2:14" x14ac:dyDescent="0.2">
      <c r="B40" s="416">
        <v>41671</v>
      </c>
      <c r="C40" s="418">
        <v>17363</v>
      </c>
      <c r="D40" s="428">
        <v>50457</v>
      </c>
      <c r="E40" s="419">
        <v>1838</v>
      </c>
      <c r="F40" s="420">
        <v>386</v>
      </c>
      <c r="G40" s="421">
        <v>67820</v>
      </c>
      <c r="H40" s="422">
        <v>1.1106969809914213</v>
      </c>
      <c r="I40" s="423"/>
      <c r="J40" s="424">
        <v>10917</v>
      </c>
      <c r="K40" s="425">
        <v>10296</v>
      </c>
      <c r="L40" s="426">
        <v>621</v>
      </c>
      <c r="M40" s="422">
        <v>1.0085122131754165</v>
      </c>
      <c r="N40" s="427">
        <f t="shared" si="0"/>
        <v>78737</v>
      </c>
    </row>
    <row r="41" spans="2:14" x14ac:dyDescent="0.2">
      <c r="B41" s="416">
        <v>41699</v>
      </c>
      <c r="C41" s="418">
        <v>17589</v>
      </c>
      <c r="D41" s="428">
        <v>50831</v>
      </c>
      <c r="E41" s="419">
        <v>1920</v>
      </c>
      <c r="F41" s="420">
        <v>422</v>
      </c>
      <c r="G41" s="421">
        <v>68420</v>
      </c>
      <c r="H41" s="422">
        <v>0.88469478030079873</v>
      </c>
      <c r="I41" s="423"/>
      <c r="J41" s="424">
        <v>11101</v>
      </c>
      <c r="K41" s="425">
        <v>10452</v>
      </c>
      <c r="L41" s="426">
        <v>649</v>
      </c>
      <c r="M41" s="422">
        <v>1.6854447192452104</v>
      </c>
      <c r="N41" s="427">
        <f t="shared" si="0"/>
        <v>79521</v>
      </c>
    </row>
    <row r="42" spans="2:14" x14ac:dyDescent="0.2">
      <c r="B42" s="416">
        <v>41730</v>
      </c>
      <c r="C42" s="418">
        <v>17846</v>
      </c>
      <c r="D42" s="428">
        <v>51013</v>
      </c>
      <c r="E42" s="419">
        <v>1942</v>
      </c>
      <c r="F42" s="420">
        <v>403</v>
      </c>
      <c r="G42" s="421">
        <v>68859</v>
      </c>
      <c r="H42" s="422">
        <v>0.64162525577315943</v>
      </c>
      <c r="I42" s="423"/>
      <c r="J42" s="424">
        <v>11881</v>
      </c>
      <c r="K42" s="425">
        <v>11234</v>
      </c>
      <c r="L42" s="426">
        <v>647</v>
      </c>
      <c r="M42" s="422">
        <v>7.0263940185568918</v>
      </c>
      <c r="N42" s="427">
        <f t="shared" si="0"/>
        <v>80740</v>
      </c>
    </row>
    <row r="43" spans="2:14" x14ac:dyDescent="0.2">
      <c r="B43" s="416">
        <v>41760</v>
      </c>
      <c r="C43" s="418">
        <v>17495</v>
      </c>
      <c r="D43" s="428">
        <v>51148</v>
      </c>
      <c r="E43" s="419">
        <v>1937</v>
      </c>
      <c r="F43" s="420">
        <v>409</v>
      </c>
      <c r="G43" s="421">
        <v>68643</v>
      </c>
      <c r="H43" s="422">
        <v>-0.31368448568814822</v>
      </c>
      <c r="I43" s="423"/>
      <c r="J43" s="424">
        <v>12408</v>
      </c>
      <c r="K43" s="425">
        <v>11755</v>
      </c>
      <c r="L43" s="426">
        <v>653</v>
      </c>
      <c r="M43" s="422">
        <v>4.4356535645147632</v>
      </c>
      <c r="N43" s="427">
        <f t="shared" si="0"/>
        <v>81051</v>
      </c>
    </row>
    <row r="44" spans="2:14" x14ac:dyDescent="0.2">
      <c r="B44" s="416">
        <v>41791</v>
      </c>
      <c r="C44" s="418">
        <v>17677</v>
      </c>
      <c r="D44" s="428">
        <v>50971</v>
      </c>
      <c r="E44" s="419">
        <v>1912</v>
      </c>
      <c r="F44" s="420">
        <v>365</v>
      </c>
      <c r="G44" s="421">
        <v>68648</v>
      </c>
      <c r="H44" s="422">
        <v>7.2840639249394101E-3</v>
      </c>
      <c r="I44" s="423"/>
      <c r="J44" s="424">
        <v>12226</v>
      </c>
      <c r="K44" s="425">
        <v>11586</v>
      </c>
      <c r="L44" s="426">
        <v>640</v>
      </c>
      <c r="M44" s="422">
        <v>-1.4667956157317863</v>
      </c>
      <c r="N44" s="427">
        <f t="shared" si="0"/>
        <v>80874</v>
      </c>
    </row>
    <row r="45" spans="2:14" ht="13.5" thickBot="1" x14ac:dyDescent="0.25">
      <c r="B45" s="429">
        <v>41821</v>
      </c>
      <c r="C45" s="430">
        <v>17773</v>
      </c>
      <c r="D45" s="431">
        <v>50522</v>
      </c>
      <c r="E45" s="432">
        <v>1951</v>
      </c>
      <c r="F45" s="433">
        <v>406</v>
      </c>
      <c r="G45" s="434">
        <v>68295</v>
      </c>
      <c r="H45" s="435">
        <v>-0.51421745717282752</v>
      </c>
      <c r="I45" s="436"/>
      <c r="J45" s="437">
        <v>12425</v>
      </c>
      <c r="K45" s="438">
        <v>11763</v>
      </c>
      <c r="L45" s="439">
        <v>662</v>
      </c>
      <c r="M45" s="435">
        <v>1.6276787174873242</v>
      </c>
      <c r="N45" s="440">
        <f t="shared" si="0"/>
        <v>80720</v>
      </c>
    </row>
  </sheetData>
  <pageMargins left="0.78740157499999996" right="0.78740157499999996" top="0.984251969" bottom="0.984251969" header="0.4921259845" footer="0.4921259845"/>
  <pageSetup paperSize="9" scale="71" orientation="landscape" r:id="rId1"/>
  <headerFooter alignWithMargins="0">
    <oddFooter>&amp;LStatistiques mensuelles&amp;Rpage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107"/>
  <sheetViews>
    <sheetView topLeftCell="A25" zoomScale="85" zoomScaleNormal="85" workbookViewId="0">
      <selection activeCell="K109" sqref="K109"/>
    </sheetView>
  </sheetViews>
  <sheetFormatPr baseColWidth="10" defaultRowHeight="12.75" x14ac:dyDescent="0.2"/>
  <cols>
    <col min="1" max="1" width="16.7109375" style="361" customWidth="1"/>
    <col min="2" max="2" width="3.7109375" style="361" customWidth="1"/>
    <col min="3" max="3" width="15.28515625" style="361" customWidth="1"/>
    <col min="4" max="4" width="9.5703125" style="361" customWidth="1"/>
    <col min="5" max="5" width="26.5703125" style="361" customWidth="1"/>
    <col min="6" max="6" width="11.42578125" style="361"/>
    <col min="7" max="7" width="13.42578125" style="361" customWidth="1"/>
    <col min="8" max="8" width="11.85546875" style="361" customWidth="1"/>
    <col min="9" max="9" width="11.7109375" style="361" customWidth="1"/>
    <col min="10" max="10" width="19.85546875" style="361" customWidth="1"/>
    <col min="11" max="16384" width="11.42578125" style="361"/>
  </cols>
  <sheetData>
    <row r="1" spans="1:36" ht="18.75" x14ac:dyDescent="0.2">
      <c r="A1" s="358"/>
      <c r="B1" s="359" t="s">
        <v>251</v>
      </c>
      <c r="C1" s="359"/>
      <c r="D1" s="359"/>
      <c r="E1" s="358"/>
      <c r="F1" s="358"/>
    </row>
    <row r="2" spans="1:36" ht="18.75" x14ac:dyDescent="0.2">
      <c r="A2" s="358"/>
      <c r="B2" s="359" t="s">
        <v>252</v>
      </c>
      <c r="C2" s="359"/>
      <c r="D2" s="359"/>
      <c r="E2" s="358"/>
      <c r="F2" s="358"/>
    </row>
    <row r="3" spans="1:36" ht="15" x14ac:dyDescent="0.2">
      <c r="A3" s="358"/>
      <c r="B3" s="358"/>
      <c r="C3" s="358"/>
      <c r="D3" s="358"/>
      <c r="E3" s="441"/>
      <c r="F3" s="358"/>
    </row>
    <row r="4" spans="1:36" ht="15" x14ac:dyDescent="0.2">
      <c r="A4" s="363" t="s">
        <v>129</v>
      </c>
      <c r="B4" s="364" t="s">
        <v>260</v>
      </c>
      <c r="C4" s="365"/>
      <c r="D4" s="365"/>
      <c r="E4" s="365"/>
      <c r="F4" s="365"/>
    </row>
    <row r="5" spans="1:36" ht="15" x14ac:dyDescent="0.2">
      <c r="A5" s="366" t="s">
        <v>131</v>
      </c>
      <c r="B5" s="367" t="s">
        <v>283</v>
      </c>
      <c r="C5" s="368"/>
      <c r="D5" s="368"/>
      <c r="E5" s="368"/>
      <c r="F5" s="368"/>
      <c r="G5" s="400"/>
      <c r="H5" s="400"/>
      <c r="I5" s="400"/>
      <c r="J5" s="398"/>
      <c r="K5" s="398"/>
      <c r="L5" s="398"/>
      <c r="M5" s="398"/>
      <c r="N5" s="398"/>
      <c r="O5" s="398"/>
      <c r="P5" s="398"/>
      <c r="Q5" s="398"/>
      <c r="R5" s="398"/>
      <c r="S5" s="398"/>
      <c r="T5" s="398"/>
      <c r="U5" s="398"/>
      <c r="V5" s="398"/>
      <c r="W5" s="398"/>
      <c r="X5" s="398"/>
      <c r="Y5" s="398"/>
      <c r="Z5" s="398"/>
      <c r="AA5" s="398"/>
      <c r="AB5" s="398"/>
      <c r="AC5" s="398"/>
      <c r="AD5" s="398"/>
      <c r="AE5" s="398"/>
      <c r="AF5" s="398"/>
      <c r="AG5" s="398"/>
      <c r="AH5" s="398"/>
      <c r="AI5" s="398"/>
      <c r="AJ5" s="398"/>
    </row>
    <row r="6" spans="1:36" ht="15" x14ac:dyDescent="0.2">
      <c r="A6" s="366" t="s">
        <v>132</v>
      </c>
      <c r="B6" s="367" t="s">
        <v>133</v>
      </c>
      <c r="C6" s="368"/>
      <c r="D6" s="368"/>
      <c r="E6" s="368"/>
      <c r="F6" s="368"/>
      <c r="G6" s="400"/>
      <c r="H6" s="400"/>
      <c r="I6" s="400"/>
      <c r="J6" s="398"/>
      <c r="K6" s="398"/>
      <c r="L6" s="398"/>
      <c r="M6" s="398"/>
      <c r="N6" s="398"/>
      <c r="O6" s="398"/>
      <c r="P6" s="398"/>
      <c r="Q6" s="398"/>
      <c r="R6" s="398"/>
      <c r="S6" s="398"/>
      <c r="T6" s="398"/>
      <c r="U6" s="398"/>
      <c r="V6" s="398"/>
      <c r="W6" s="398"/>
      <c r="X6" s="398"/>
      <c r="Y6" s="398"/>
      <c r="Z6" s="398"/>
      <c r="AA6" s="398"/>
      <c r="AB6" s="398"/>
      <c r="AC6" s="398"/>
      <c r="AD6" s="398"/>
      <c r="AE6" s="398"/>
      <c r="AF6" s="398"/>
      <c r="AG6" s="398"/>
      <c r="AH6" s="398"/>
      <c r="AI6" s="398"/>
      <c r="AJ6" s="398"/>
    </row>
    <row r="7" spans="1:36" ht="15" x14ac:dyDescent="0.2">
      <c r="A7" s="442" t="s">
        <v>151</v>
      </c>
      <c r="B7" s="367" t="s">
        <v>283</v>
      </c>
      <c r="C7" s="368"/>
      <c r="D7" s="368"/>
      <c r="E7" s="368"/>
      <c r="F7" s="368"/>
      <c r="G7" s="400"/>
      <c r="H7" s="400"/>
      <c r="I7" s="400"/>
      <c r="J7" s="398"/>
      <c r="K7" s="398"/>
      <c r="L7" s="398"/>
      <c r="M7" s="398"/>
      <c r="N7" s="398"/>
      <c r="O7" s="398"/>
      <c r="P7" s="398"/>
      <c r="Q7" s="398"/>
      <c r="R7" s="398"/>
      <c r="S7" s="398"/>
      <c r="T7" s="398"/>
      <c r="U7" s="398"/>
      <c r="V7" s="398"/>
      <c r="W7" s="398"/>
      <c r="X7" s="398"/>
      <c r="Y7" s="398"/>
      <c r="Z7" s="398"/>
      <c r="AA7" s="398"/>
      <c r="AB7" s="398"/>
      <c r="AC7" s="398"/>
      <c r="AD7" s="398"/>
      <c r="AE7" s="398"/>
      <c r="AF7" s="398"/>
      <c r="AG7" s="398"/>
      <c r="AH7" s="398"/>
      <c r="AI7" s="398"/>
      <c r="AJ7" s="398"/>
    </row>
    <row r="8" spans="1:36" ht="15" x14ac:dyDescent="0.25">
      <c r="A8" s="360"/>
      <c r="B8" s="443" t="s">
        <v>170</v>
      </c>
      <c r="C8" s="360"/>
      <c r="D8" s="360"/>
      <c r="E8" s="444"/>
      <c r="F8" s="360"/>
      <c r="J8" s="398"/>
      <c r="K8" s="398"/>
      <c r="L8" s="398"/>
      <c r="M8" s="398"/>
      <c r="N8" s="398"/>
      <c r="O8" s="398"/>
      <c r="P8" s="398"/>
      <c r="Q8" s="398"/>
      <c r="R8" s="398"/>
      <c r="S8" s="398"/>
      <c r="T8" s="398"/>
      <c r="U8" s="398"/>
      <c r="V8" s="398"/>
      <c r="W8" s="398"/>
      <c r="X8" s="398"/>
      <c r="Y8" s="398"/>
      <c r="Z8" s="398"/>
      <c r="AA8" s="398"/>
      <c r="AB8" s="398"/>
      <c r="AC8" s="398"/>
      <c r="AD8" s="398"/>
      <c r="AE8" s="398"/>
      <c r="AF8" s="398"/>
      <c r="AG8" s="398"/>
      <c r="AH8" s="398"/>
      <c r="AI8" s="398"/>
      <c r="AJ8" s="398"/>
    </row>
    <row r="9" spans="1:36" ht="15" x14ac:dyDescent="0.25">
      <c r="A9" s="360"/>
      <c r="B9" s="443"/>
      <c r="C9" s="360"/>
      <c r="D9" s="360"/>
      <c r="E9" s="444"/>
      <c r="F9" s="360"/>
    </row>
    <row r="10" spans="1:36" ht="27" x14ac:dyDescent="0.2">
      <c r="C10" s="445" t="s">
        <v>271</v>
      </c>
      <c r="D10" s="445" t="s">
        <v>272</v>
      </c>
      <c r="E10" s="445" t="s">
        <v>273</v>
      </c>
      <c r="F10" s="445" t="s">
        <v>274</v>
      </c>
      <c r="G10" s="445" t="s">
        <v>275</v>
      </c>
      <c r="H10" s="446" t="s">
        <v>276</v>
      </c>
      <c r="I10" s="445" t="s">
        <v>277</v>
      </c>
      <c r="J10" s="447"/>
    </row>
    <row r="11" spans="1:36" x14ac:dyDescent="0.2">
      <c r="C11" s="448" t="s">
        <v>200</v>
      </c>
      <c r="D11" s="449" t="s">
        <v>294</v>
      </c>
      <c r="E11" s="449" t="s">
        <v>306</v>
      </c>
      <c r="F11" s="447" t="s">
        <v>543</v>
      </c>
      <c r="G11" s="447" t="s">
        <v>543</v>
      </c>
      <c r="H11" s="447">
        <v>103</v>
      </c>
      <c r="I11" s="450">
        <f t="shared" ref="I11:I74" si="0">H11/G11</f>
        <v>1.3733333333333333</v>
      </c>
      <c r="J11" s="451">
        <v>95</v>
      </c>
      <c r="K11" s="451">
        <v>39334</v>
      </c>
    </row>
    <row r="12" spans="1:36" x14ac:dyDescent="0.2">
      <c r="C12" s="448" t="s">
        <v>200</v>
      </c>
      <c r="D12" s="449" t="s">
        <v>295</v>
      </c>
      <c r="E12" s="449" t="s">
        <v>315</v>
      </c>
      <c r="F12" s="447" t="s">
        <v>544</v>
      </c>
      <c r="G12" s="447" t="s">
        <v>545</v>
      </c>
      <c r="H12" s="447">
        <v>612</v>
      </c>
      <c r="I12" s="450">
        <f t="shared" si="0"/>
        <v>1.6767123287671233</v>
      </c>
    </row>
    <row r="13" spans="1:36" x14ac:dyDescent="0.2">
      <c r="C13" s="448" t="s">
        <v>200</v>
      </c>
      <c r="D13" s="449" t="s">
        <v>294</v>
      </c>
      <c r="E13" s="449" t="s">
        <v>308</v>
      </c>
      <c r="F13" s="447" t="s">
        <v>546</v>
      </c>
      <c r="G13" s="447" t="s">
        <v>546</v>
      </c>
      <c r="H13" s="447">
        <v>118</v>
      </c>
      <c r="I13" s="450">
        <f t="shared" si="0"/>
        <v>1.388235294117647</v>
      </c>
    </row>
    <row r="14" spans="1:36" x14ac:dyDescent="0.2">
      <c r="C14" s="448" t="s">
        <v>200</v>
      </c>
      <c r="D14" s="449" t="s">
        <v>294</v>
      </c>
      <c r="E14" s="449" t="s">
        <v>309</v>
      </c>
      <c r="F14" s="447" t="s">
        <v>547</v>
      </c>
      <c r="G14" s="447" t="s">
        <v>547</v>
      </c>
      <c r="H14" s="447">
        <v>86</v>
      </c>
      <c r="I14" s="450">
        <f t="shared" si="0"/>
        <v>1.303030303030303</v>
      </c>
    </row>
    <row r="15" spans="1:36" x14ac:dyDescent="0.2">
      <c r="C15" s="448" t="s">
        <v>200</v>
      </c>
      <c r="D15" s="449" t="s">
        <v>294</v>
      </c>
      <c r="E15" s="449" t="s">
        <v>312</v>
      </c>
      <c r="F15" s="447" t="s">
        <v>548</v>
      </c>
      <c r="G15" s="447" t="s">
        <v>548</v>
      </c>
      <c r="H15" s="447">
        <v>78</v>
      </c>
      <c r="I15" s="450">
        <f t="shared" si="0"/>
        <v>1.5294117647058822</v>
      </c>
    </row>
    <row r="16" spans="1:36" x14ac:dyDescent="0.2">
      <c r="C16" s="448" t="s">
        <v>200</v>
      </c>
      <c r="D16" s="449" t="s">
        <v>294</v>
      </c>
      <c r="E16" s="449" t="s">
        <v>313</v>
      </c>
      <c r="F16" s="447" t="s">
        <v>549</v>
      </c>
      <c r="G16" s="447" t="s">
        <v>550</v>
      </c>
      <c r="H16" s="447">
        <v>84</v>
      </c>
      <c r="I16" s="450">
        <f t="shared" si="0"/>
        <v>1.4</v>
      </c>
    </row>
    <row r="17" spans="3:9" x14ac:dyDescent="0.2">
      <c r="C17" s="448" t="s">
        <v>200</v>
      </c>
      <c r="D17" s="449" t="s">
        <v>294</v>
      </c>
      <c r="E17" s="449" t="s">
        <v>314</v>
      </c>
      <c r="F17" s="447" t="s">
        <v>551</v>
      </c>
      <c r="G17" s="447" t="s">
        <v>551</v>
      </c>
      <c r="H17" s="447">
        <v>67</v>
      </c>
      <c r="I17" s="450">
        <f t="shared" si="0"/>
        <v>1.425531914893617</v>
      </c>
    </row>
    <row r="18" spans="3:9" x14ac:dyDescent="0.2">
      <c r="C18" s="452" t="s">
        <v>201</v>
      </c>
      <c r="D18" s="453" t="s">
        <v>294</v>
      </c>
      <c r="E18" s="453" t="s">
        <v>326</v>
      </c>
      <c r="F18" s="454" t="s">
        <v>552</v>
      </c>
      <c r="G18" s="454" t="s">
        <v>552</v>
      </c>
      <c r="H18" s="454">
        <v>169</v>
      </c>
      <c r="I18" s="455">
        <f t="shared" si="0"/>
        <v>1.9204545454545454</v>
      </c>
    </row>
    <row r="19" spans="3:9" x14ac:dyDescent="0.2">
      <c r="C19" s="452" t="s">
        <v>201</v>
      </c>
      <c r="D19" s="453" t="s">
        <v>294</v>
      </c>
      <c r="E19" s="453" t="s">
        <v>328</v>
      </c>
      <c r="F19" s="454" t="s">
        <v>553</v>
      </c>
      <c r="G19" s="454" t="s">
        <v>553</v>
      </c>
      <c r="H19" s="454">
        <v>143</v>
      </c>
      <c r="I19" s="455">
        <f t="shared" si="0"/>
        <v>1.2327586206896552</v>
      </c>
    </row>
    <row r="20" spans="3:9" x14ac:dyDescent="0.2">
      <c r="C20" s="452" t="s">
        <v>201</v>
      </c>
      <c r="D20" s="453" t="s">
        <v>294</v>
      </c>
      <c r="E20" s="453" t="s">
        <v>332</v>
      </c>
      <c r="F20" s="454" t="s">
        <v>554</v>
      </c>
      <c r="G20" s="454" t="s">
        <v>554</v>
      </c>
      <c r="H20" s="454">
        <v>100</v>
      </c>
      <c r="I20" s="455">
        <f t="shared" si="0"/>
        <v>1.2820512820512822</v>
      </c>
    </row>
    <row r="21" spans="3:9" x14ac:dyDescent="0.2">
      <c r="C21" s="452" t="s">
        <v>201</v>
      </c>
      <c r="D21" s="453" t="s">
        <v>294</v>
      </c>
      <c r="E21" s="453" t="s">
        <v>201</v>
      </c>
      <c r="F21" s="454" t="s">
        <v>555</v>
      </c>
      <c r="G21" s="454" t="s">
        <v>555</v>
      </c>
      <c r="H21" s="454">
        <v>265</v>
      </c>
      <c r="I21" s="455">
        <f t="shared" si="0"/>
        <v>1.4324324324324325</v>
      </c>
    </row>
    <row r="22" spans="3:9" x14ac:dyDescent="0.2">
      <c r="C22" s="452" t="s">
        <v>201</v>
      </c>
      <c r="D22" s="453" t="s">
        <v>294</v>
      </c>
      <c r="E22" s="453" t="s">
        <v>334</v>
      </c>
      <c r="F22" s="454" t="s">
        <v>556</v>
      </c>
      <c r="G22" s="454" t="s">
        <v>556</v>
      </c>
      <c r="H22" s="454">
        <v>280</v>
      </c>
      <c r="I22" s="455">
        <f t="shared" si="0"/>
        <v>2.6666666666666665</v>
      </c>
    </row>
    <row r="23" spans="3:9" x14ac:dyDescent="0.2">
      <c r="C23" s="452" t="s">
        <v>201</v>
      </c>
      <c r="D23" s="453" t="s">
        <v>294</v>
      </c>
      <c r="E23" s="453" t="s">
        <v>336</v>
      </c>
      <c r="F23" s="454" t="s">
        <v>557</v>
      </c>
      <c r="G23" s="454" t="s">
        <v>557</v>
      </c>
      <c r="H23" s="454">
        <v>209</v>
      </c>
      <c r="I23" s="455">
        <f t="shared" si="0"/>
        <v>1.4413793103448276</v>
      </c>
    </row>
    <row r="24" spans="3:9" x14ac:dyDescent="0.2">
      <c r="C24" s="452" t="s">
        <v>201</v>
      </c>
      <c r="D24" s="453" t="s">
        <v>294</v>
      </c>
      <c r="E24" s="453" t="s">
        <v>337</v>
      </c>
      <c r="F24" s="454" t="s">
        <v>553</v>
      </c>
      <c r="G24" s="454" t="s">
        <v>553</v>
      </c>
      <c r="H24" s="454">
        <v>166</v>
      </c>
      <c r="I24" s="455">
        <f t="shared" si="0"/>
        <v>1.4310344827586208</v>
      </c>
    </row>
    <row r="25" spans="3:9" x14ac:dyDescent="0.2">
      <c r="C25" s="452" t="s">
        <v>201</v>
      </c>
      <c r="D25" s="453" t="s">
        <v>295</v>
      </c>
      <c r="E25" s="453" t="s">
        <v>339</v>
      </c>
      <c r="F25" s="454" t="s">
        <v>558</v>
      </c>
      <c r="G25" s="454" t="s">
        <v>558</v>
      </c>
      <c r="H25" s="454">
        <v>250</v>
      </c>
      <c r="I25" s="455">
        <f t="shared" si="0"/>
        <v>1.2953367875647668</v>
      </c>
    </row>
    <row r="26" spans="3:9" x14ac:dyDescent="0.2">
      <c r="C26" s="448" t="s">
        <v>202</v>
      </c>
      <c r="D26" s="449" t="s">
        <v>294</v>
      </c>
      <c r="E26" s="449" t="s">
        <v>349</v>
      </c>
      <c r="F26" s="447" t="s">
        <v>559</v>
      </c>
      <c r="G26" s="447" t="s">
        <v>559</v>
      </c>
      <c r="H26" s="447">
        <v>474</v>
      </c>
      <c r="I26" s="450">
        <f t="shared" si="0"/>
        <v>1.5439739413680782</v>
      </c>
    </row>
    <row r="27" spans="3:9" x14ac:dyDescent="0.2">
      <c r="C27" s="448" t="s">
        <v>202</v>
      </c>
      <c r="D27" s="449" t="s">
        <v>294</v>
      </c>
      <c r="E27" s="449" t="s">
        <v>350</v>
      </c>
      <c r="F27" s="447" t="s">
        <v>560</v>
      </c>
      <c r="G27" s="447" t="s">
        <v>560</v>
      </c>
      <c r="H27" s="447">
        <v>276</v>
      </c>
      <c r="I27" s="450">
        <f t="shared" si="0"/>
        <v>1.3663366336633664</v>
      </c>
    </row>
    <row r="28" spans="3:9" x14ac:dyDescent="0.2">
      <c r="C28" s="448" t="s">
        <v>202</v>
      </c>
      <c r="D28" s="449" t="s">
        <v>294</v>
      </c>
      <c r="E28" s="449" t="s">
        <v>351</v>
      </c>
      <c r="F28" s="447" t="s">
        <v>561</v>
      </c>
      <c r="G28" s="447" t="s">
        <v>561</v>
      </c>
      <c r="H28" s="447">
        <v>145</v>
      </c>
      <c r="I28" s="450">
        <f t="shared" si="0"/>
        <v>1.2393162393162394</v>
      </c>
    </row>
    <row r="29" spans="3:9" x14ac:dyDescent="0.2">
      <c r="C29" s="448" t="s">
        <v>202</v>
      </c>
      <c r="D29" s="449" t="s">
        <v>294</v>
      </c>
      <c r="E29" s="449" t="s">
        <v>352</v>
      </c>
      <c r="F29" s="447" t="s">
        <v>562</v>
      </c>
      <c r="G29" s="447" t="s">
        <v>563</v>
      </c>
      <c r="H29" s="447">
        <v>370</v>
      </c>
      <c r="I29" s="450">
        <f t="shared" si="0"/>
        <v>2.215568862275449</v>
      </c>
    </row>
    <row r="30" spans="3:9" x14ac:dyDescent="0.2">
      <c r="C30" s="448" t="s">
        <v>202</v>
      </c>
      <c r="D30" s="449" t="s">
        <v>294</v>
      </c>
      <c r="E30" s="449" t="s">
        <v>354</v>
      </c>
      <c r="F30" s="447" t="s">
        <v>564</v>
      </c>
      <c r="G30" s="447" t="s">
        <v>564</v>
      </c>
      <c r="H30" s="447">
        <v>556</v>
      </c>
      <c r="I30" s="450">
        <f t="shared" si="0"/>
        <v>1.4441558441558442</v>
      </c>
    </row>
    <row r="31" spans="3:9" x14ac:dyDescent="0.2">
      <c r="C31" s="448" t="s">
        <v>202</v>
      </c>
      <c r="D31" s="449" t="s">
        <v>294</v>
      </c>
      <c r="E31" s="449" t="s">
        <v>356</v>
      </c>
      <c r="F31" s="447" t="s">
        <v>565</v>
      </c>
      <c r="G31" s="447" t="s">
        <v>565</v>
      </c>
      <c r="H31" s="447">
        <v>257</v>
      </c>
      <c r="I31" s="450">
        <f t="shared" si="0"/>
        <v>1.5864197530864197</v>
      </c>
    </row>
    <row r="32" spans="3:9" x14ac:dyDescent="0.2">
      <c r="C32" s="448" t="s">
        <v>202</v>
      </c>
      <c r="D32" s="449" t="s">
        <v>295</v>
      </c>
      <c r="E32" s="449" t="s">
        <v>359</v>
      </c>
      <c r="F32" s="447" t="s">
        <v>566</v>
      </c>
      <c r="G32" s="447" t="s">
        <v>566</v>
      </c>
      <c r="H32" s="447">
        <v>306</v>
      </c>
      <c r="I32" s="450">
        <f t="shared" si="0"/>
        <v>1.5692307692307692</v>
      </c>
    </row>
    <row r="33" spans="3:9" x14ac:dyDescent="0.2">
      <c r="C33" s="448" t="s">
        <v>202</v>
      </c>
      <c r="D33" s="449" t="s">
        <v>295</v>
      </c>
      <c r="E33" s="449" t="s">
        <v>361</v>
      </c>
      <c r="F33" s="447" t="s">
        <v>567</v>
      </c>
      <c r="G33" s="447" t="s">
        <v>567</v>
      </c>
      <c r="H33" s="447">
        <v>328</v>
      </c>
      <c r="I33" s="450">
        <f t="shared" si="0"/>
        <v>1.4137931034482758</v>
      </c>
    </row>
    <row r="34" spans="3:9" x14ac:dyDescent="0.2">
      <c r="C34" s="448" t="s">
        <v>202</v>
      </c>
      <c r="D34" s="449" t="s">
        <v>295</v>
      </c>
      <c r="E34" s="449" t="s">
        <v>362</v>
      </c>
      <c r="F34" s="447" t="s">
        <v>568</v>
      </c>
      <c r="G34" s="447" t="s">
        <v>568</v>
      </c>
      <c r="H34" s="447">
        <v>553</v>
      </c>
      <c r="I34" s="450">
        <f t="shared" si="0"/>
        <v>1.2316258351893097</v>
      </c>
    </row>
    <row r="35" spans="3:9" x14ac:dyDescent="0.2">
      <c r="C35" s="448" t="s">
        <v>202</v>
      </c>
      <c r="D35" s="449" t="s">
        <v>295</v>
      </c>
      <c r="E35" s="449" t="s">
        <v>365</v>
      </c>
      <c r="F35" s="447" t="s">
        <v>569</v>
      </c>
      <c r="G35" s="447" t="s">
        <v>569</v>
      </c>
      <c r="H35" s="447">
        <v>862</v>
      </c>
      <c r="I35" s="450">
        <f t="shared" si="0"/>
        <v>1.476027397260274</v>
      </c>
    </row>
    <row r="36" spans="3:9" x14ac:dyDescent="0.2">
      <c r="C36" s="448" t="s">
        <v>202</v>
      </c>
      <c r="D36" s="449" t="s">
        <v>295</v>
      </c>
      <c r="E36" s="449" t="s">
        <v>363</v>
      </c>
      <c r="F36" s="447" t="s">
        <v>570</v>
      </c>
      <c r="G36" s="447" t="s">
        <v>570</v>
      </c>
      <c r="H36" s="447">
        <v>351</v>
      </c>
      <c r="I36" s="450">
        <f t="shared" si="0"/>
        <v>1.7908163265306123</v>
      </c>
    </row>
    <row r="37" spans="3:9" x14ac:dyDescent="0.2">
      <c r="C37" s="448" t="s">
        <v>202</v>
      </c>
      <c r="D37" s="449" t="s">
        <v>294</v>
      </c>
      <c r="E37" s="449" t="s">
        <v>358</v>
      </c>
      <c r="F37" s="447" t="s">
        <v>571</v>
      </c>
      <c r="G37" s="447" t="s">
        <v>571</v>
      </c>
      <c r="H37" s="447">
        <v>359</v>
      </c>
      <c r="I37" s="450">
        <f t="shared" si="0"/>
        <v>1.617117117117117</v>
      </c>
    </row>
    <row r="38" spans="3:9" x14ac:dyDescent="0.2">
      <c r="C38" s="452" t="s">
        <v>203</v>
      </c>
      <c r="D38" s="453" t="s">
        <v>295</v>
      </c>
      <c r="E38" s="453" t="s">
        <v>386</v>
      </c>
      <c r="F38" s="454" t="s">
        <v>572</v>
      </c>
      <c r="G38" s="454" t="s">
        <v>572</v>
      </c>
      <c r="H38" s="454">
        <v>282</v>
      </c>
      <c r="I38" s="455">
        <f t="shared" si="0"/>
        <v>1.2422907488986785</v>
      </c>
    </row>
    <row r="39" spans="3:9" x14ac:dyDescent="0.2">
      <c r="C39" s="452" t="s">
        <v>203</v>
      </c>
      <c r="D39" s="453" t="s">
        <v>294</v>
      </c>
      <c r="E39" s="453" t="s">
        <v>375</v>
      </c>
      <c r="F39" s="454" t="s">
        <v>573</v>
      </c>
      <c r="G39" s="454" t="s">
        <v>573</v>
      </c>
      <c r="H39" s="454">
        <v>126</v>
      </c>
      <c r="I39" s="455">
        <f t="shared" si="0"/>
        <v>1.3548387096774193</v>
      </c>
    </row>
    <row r="40" spans="3:9" x14ac:dyDescent="0.2">
      <c r="C40" s="452" t="s">
        <v>203</v>
      </c>
      <c r="D40" s="453" t="s">
        <v>294</v>
      </c>
      <c r="E40" s="453" t="s">
        <v>377</v>
      </c>
      <c r="F40" s="454" t="s">
        <v>567</v>
      </c>
      <c r="G40" s="454" t="s">
        <v>567</v>
      </c>
      <c r="H40" s="454">
        <v>309</v>
      </c>
      <c r="I40" s="455">
        <f t="shared" si="0"/>
        <v>1.3318965517241379</v>
      </c>
    </row>
    <row r="41" spans="3:9" x14ac:dyDescent="0.2">
      <c r="C41" s="452" t="s">
        <v>203</v>
      </c>
      <c r="D41" s="453" t="s">
        <v>294</v>
      </c>
      <c r="E41" s="453" t="s">
        <v>378</v>
      </c>
      <c r="F41" s="454" t="s">
        <v>574</v>
      </c>
      <c r="G41" s="454" t="s">
        <v>574</v>
      </c>
      <c r="H41" s="454">
        <v>61</v>
      </c>
      <c r="I41" s="455">
        <f t="shared" si="0"/>
        <v>1.6944444444444444</v>
      </c>
    </row>
    <row r="42" spans="3:9" x14ac:dyDescent="0.2">
      <c r="C42" s="452" t="s">
        <v>203</v>
      </c>
      <c r="D42" s="453" t="s">
        <v>294</v>
      </c>
      <c r="E42" s="453" t="s">
        <v>379</v>
      </c>
      <c r="F42" s="454" t="s">
        <v>575</v>
      </c>
      <c r="G42" s="454" t="s">
        <v>575</v>
      </c>
      <c r="H42" s="454">
        <v>898</v>
      </c>
      <c r="I42" s="455">
        <f t="shared" si="0"/>
        <v>1.305232558139535</v>
      </c>
    </row>
    <row r="43" spans="3:9" x14ac:dyDescent="0.2">
      <c r="C43" s="452" t="s">
        <v>203</v>
      </c>
      <c r="D43" s="453" t="s">
        <v>294</v>
      </c>
      <c r="E43" s="453" t="s">
        <v>380</v>
      </c>
      <c r="F43" s="454" t="s">
        <v>576</v>
      </c>
      <c r="G43" s="454" t="s">
        <v>576</v>
      </c>
      <c r="H43" s="454">
        <v>28</v>
      </c>
      <c r="I43" s="455">
        <f t="shared" si="0"/>
        <v>1.3333333333333333</v>
      </c>
    </row>
    <row r="44" spans="3:9" x14ac:dyDescent="0.2">
      <c r="C44" s="452" t="s">
        <v>203</v>
      </c>
      <c r="D44" s="453" t="s">
        <v>294</v>
      </c>
      <c r="E44" s="453" t="s">
        <v>383</v>
      </c>
      <c r="F44" s="454" t="s">
        <v>577</v>
      </c>
      <c r="G44" s="454" t="s">
        <v>577</v>
      </c>
      <c r="H44" s="454">
        <v>399</v>
      </c>
      <c r="I44" s="455">
        <f t="shared" si="0"/>
        <v>1.2201834862385321</v>
      </c>
    </row>
    <row r="45" spans="3:9" x14ac:dyDescent="0.2">
      <c r="C45" s="452" t="s">
        <v>203</v>
      </c>
      <c r="D45" s="453" t="s">
        <v>295</v>
      </c>
      <c r="E45" s="453" t="s">
        <v>389</v>
      </c>
      <c r="F45" s="454" t="s">
        <v>578</v>
      </c>
      <c r="G45" s="454" t="s">
        <v>578</v>
      </c>
      <c r="H45" s="454">
        <v>304</v>
      </c>
      <c r="I45" s="455">
        <f t="shared" si="0"/>
        <v>1.2827004219409284</v>
      </c>
    </row>
    <row r="46" spans="3:9" x14ac:dyDescent="0.2">
      <c r="C46" s="452" t="s">
        <v>203</v>
      </c>
      <c r="D46" s="453" t="s">
        <v>294</v>
      </c>
      <c r="E46" s="453" t="s">
        <v>384</v>
      </c>
      <c r="F46" s="454" t="s">
        <v>579</v>
      </c>
      <c r="G46" s="454" t="s">
        <v>579</v>
      </c>
      <c r="H46" s="454">
        <v>169</v>
      </c>
      <c r="I46" s="455">
        <f t="shared" si="0"/>
        <v>1.2335766423357664</v>
      </c>
    </row>
    <row r="47" spans="3:9" x14ac:dyDescent="0.2">
      <c r="C47" s="448" t="s">
        <v>204</v>
      </c>
      <c r="D47" s="449" t="s">
        <v>295</v>
      </c>
      <c r="E47" s="449" t="s">
        <v>398</v>
      </c>
      <c r="F47" s="447" t="s">
        <v>580</v>
      </c>
      <c r="G47" s="447" t="s">
        <v>580</v>
      </c>
      <c r="H47" s="447">
        <v>918</v>
      </c>
      <c r="I47" s="450">
        <f t="shared" si="0"/>
        <v>1.5</v>
      </c>
    </row>
    <row r="48" spans="3:9" x14ac:dyDescent="0.2">
      <c r="C48" s="448" t="s">
        <v>204</v>
      </c>
      <c r="D48" s="449" t="s">
        <v>295</v>
      </c>
      <c r="E48" s="449" t="s">
        <v>399</v>
      </c>
      <c r="F48" s="447" t="s">
        <v>581</v>
      </c>
      <c r="G48" s="447" t="s">
        <v>581</v>
      </c>
      <c r="H48" s="447">
        <v>589</v>
      </c>
      <c r="I48" s="450">
        <f t="shared" si="0"/>
        <v>1.4023809523809523</v>
      </c>
    </row>
    <row r="49" spans="3:9" x14ac:dyDescent="0.2">
      <c r="C49" s="448" t="s">
        <v>204</v>
      </c>
      <c r="D49" s="449" t="s">
        <v>294</v>
      </c>
      <c r="E49" s="449" t="s">
        <v>396</v>
      </c>
      <c r="F49" s="447" t="s">
        <v>582</v>
      </c>
      <c r="G49" s="447" t="s">
        <v>582</v>
      </c>
      <c r="H49" s="447">
        <v>799</v>
      </c>
      <c r="I49" s="450">
        <f t="shared" si="0"/>
        <v>1.3944153577661431</v>
      </c>
    </row>
    <row r="50" spans="3:9" x14ac:dyDescent="0.2">
      <c r="C50" s="448" t="s">
        <v>204</v>
      </c>
      <c r="D50" s="449" t="s">
        <v>295</v>
      </c>
      <c r="E50" s="449" t="s">
        <v>401</v>
      </c>
      <c r="F50" s="447" t="s">
        <v>583</v>
      </c>
      <c r="G50" s="447" t="s">
        <v>583</v>
      </c>
      <c r="H50" s="447">
        <v>1932</v>
      </c>
      <c r="I50" s="450">
        <f t="shared" si="0"/>
        <v>1.6140350877192982</v>
      </c>
    </row>
    <row r="51" spans="3:9" x14ac:dyDescent="0.2">
      <c r="C51" s="448" t="s">
        <v>204</v>
      </c>
      <c r="D51" s="449" t="s">
        <v>294</v>
      </c>
      <c r="E51" s="449" t="s">
        <v>397</v>
      </c>
      <c r="F51" s="447" t="s">
        <v>584</v>
      </c>
      <c r="G51" s="447" t="s">
        <v>584</v>
      </c>
      <c r="H51" s="447">
        <v>609</v>
      </c>
      <c r="I51" s="450">
        <f t="shared" si="0"/>
        <v>1.6776859504132231</v>
      </c>
    </row>
    <row r="52" spans="3:9" x14ac:dyDescent="0.2">
      <c r="C52" s="448" t="s">
        <v>204</v>
      </c>
      <c r="D52" s="449" t="s">
        <v>295</v>
      </c>
      <c r="E52" s="449" t="s">
        <v>402</v>
      </c>
      <c r="F52" s="447" t="s">
        <v>585</v>
      </c>
      <c r="G52" s="447" t="s">
        <v>585</v>
      </c>
      <c r="H52" s="447">
        <v>690</v>
      </c>
      <c r="I52" s="450">
        <f t="shared" si="0"/>
        <v>1.7468354430379747</v>
      </c>
    </row>
    <row r="53" spans="3:9" x14ac:dyDescent="0.2">
      <c r="C53" s="452" t="s">
        <v>205</v>
      </c>
      <c r="D53" s="453" t="s">
        <v>294</v>
      </c>
      <c r="E53" s="453" t="s">
        <v>408</v>
      </c>
      <c r="F53" s="454" t="s">
        <v>586</v>
      </c>
      <c r="G53" s="454" t="s">
        <v>586</v>
      </c>
      <c r="H53" s="454">
        <v>833</v>
      </c>
      <c r="I53" s="455">
        <f t="shared" si="0"/>
        <v>1.6659999999999999</v>
      </c>
    </row>
    <row r="54" spans="3:9" x14ac:dyDescent="0.2">
      <c r="C54" s="452" t="s">
        <v>205</v>
      </c>
      <c r="D54" s="453" t="s">
        <v>325</v>
      </c>
      <c r="E54" s="453" t="s">
        <v>421</v>
      </c>
      <c r="F54" s="454" t="s">
        <v>587</v>
      </c>
      <c r="G54" s="454" t="s">
        <v>587</v>
      </c>
      <c r="H54" s="454">
        <v>113</v>
      </c>
      <c r="I54" s="455">
        <f t="shared" si="0"/>
        <v>1.4675324675324675</v>
      </c>
    </row>
    <row r="55" spans="3:9" x14ac:dyDescent="0.2">
      <c r="C55" s="452" t="s">
        <v>205</v>
      </c>
      <c r="D55" s="453" t="s">
        <v>294</v>
      </c>
      <c r="E55" s="453" t="s">
        <v>409</v>
      </c>
      <c r="F55" s="454" t="s">
        <v>588</v>
      </c>
      <c r="G55" s="454" t="s">
        <v>588</v>
      </c>
      <c r="H55" s="454">
        <v>4036</v>
      </c>
      <c r="I55" s="455">
        <f t="shared" si="0"/>
        <v>1.4126706335316765</v>
      </c>
    </row>
    <row r="56" spans="3:9" x14ac:dyDescent="0.2">
      <c r="C56" s="452" t="s">
        <v>205</v>
      </c>
      <c r="D56" s="453" t="s">
        <v>295</v>
      </c>
      <c r="E56" s="453" t="s">
        <v>415</v>
      </c>
      <c r="F56" s="454" t="s">
        <v>589</v>
      </c>
      <c r="G56" s="454" t="s">
        <v>589</v>
      </c>
      <c r="H56" s="454">
        <v>2368</v>
      </c>
      <c r="I56" s="455">
        <f t="shared" si="0"/>
        <v>1.6866096866096867</v>
      </c>
    </row>
    <row r="57" spans="3:9" x14ac:dyDescent="0.2">
      <c r="C57" s="452" t="s">
        <v>205</v>
      </c>
      <c r="D57" s="453" t="s">
        <v>325</v>
      </c>
      <c r="E57" s="453" t="s">
        <v>422</v>
      </c>
      <c r="F57" s="454" t="s">
        <v>590</v>
      </c>
      <c r="G57" s="454" t="s">
        <v>590</v>
      </c>
      <c r="H57" s="454">
        <v>103</v>
      </c>
      <c r="I57" s="455">
        <f t="shared" si="0"/>
        <v>2.1458333333333335</v>
      </c>
    </row>
    <row r="58" spans="3:9" x14ac:dyDescent="0.2">
      <c r="C58" s="452" t="s">
        <v>205</v>
      </c>
      <c r="D58" s="453" t="s">
        <v>300</v>
      </c>
      <c r="E58" s="453" t="s">
        <v>416</v>
      </c>
      <c r="F58" s="454" t="s">
        <v>550</v>
      </c>
      <c r="G58" s="454" t="s">
        <v>550</v>
      </c>
      <c r="H58" s="454">
        <v>80</v>
      </c>
      <c r="I58" s="455">
        <f t="shared" si="0"/>
        <v>1.3333333333333333</v>
      </c>
    </row>
    <row r="59" spans="3:9" x14ac:dyDescent="0.2">
      <c r="C59" s="452" t="s">
        <v>205</v>
      </c>
      <c r="D59" s="453" t="s">
        <v>295</v>
      </c>
      <c r="E59" s="453" t="s">
        <v>416</v>
      </c>
      <c r="F59" s="454" t="s">
        <v>564</v>
      </c>
      <c r="G59" s="454" t="s">
        <v>564</v>
      </c>
      <c r="H59" s="454">
        <v>682</v>
      </c>
      <c r="I59" s="455">
        <f t="shared" si="0"/>
        <v>1.7714285714285714</v>
      </c>
    </row>
    <row r="60" spans="3:9" x14ac:dyDescent="0.2">
      <c r="C60" s="452" t="s">
        <v>205</v>
      </c>
      <c r="D60" s="453" t="s">
        <v>325</v>
      </c>
      <c r="E60" s="453" t="s">
        <v>417</v>
      </c>
      <c r="F60" s="454" t="s">
        <v>591</v>
      </c>
      <c r="G60" s="454" t="s">
        <v>591</v>
      </c>
      <c r="H60" s="454">
        <v>54</v>
      </c>
      <c r="I60" s="455">
        <f t="shared" si="0"/>
        <v>1.2558139534883721</v>
      </c>
    </row>
    <row r="61" spans="3:9" x14ac:dyDescent="0.2">
      <c r="C61" s="452" t="s">
        <v>205</v>
      </c>
      <c r="D61" s="453" t="s">
        <v>294</v>
      </c>
      <c r="E61" s="453" t="s">
        <v>410</v>
      </c>
      <c r="F61" s="454" t="s">
        <v>592</v>
      </c>
      <c r="G61" s="454" t="s">
        <v>592</v>
      </c>
      <c r="H61" s="454">
        <v>1054</v>
      </c>
      <c r="I61" s="455">
        <f t="shared" si="0"/>
        <v>1.7804054054054055</v>
      </c>
    </row>
    <row r="62" spans="3:9" x14ac:dyDescent="0.2">
      <c r="C62" s="452" t="s">
        <v>205</v>
      </c>
      <c r="D62" s="453" t="s">
        <v>294</v>
      </c>
      <c r="E62" s="453" t="s">
        <v>411</v>
      </c>
      <c r="F62" s="454" t="s">
        <v>593</v>
      </c>
      <c r="G62" s="454" t="s">
        <v>593</v>
      </c>
      <c r="H62" s="454">
        <v>874</v>
      </c>
      <c r="I62" s="455">
        <f t="shared" si="0"/>
        <v>1.5094991364421417</v>
      </c>
    </row>
    <row r="63" spans="3:9" x14ac:dyDescent="0.2">
      <c r="C63" s="452" t="s">
        <v>205</v>
      </c>
      <c r="D63" s="453" t="s">
        <v>294</v>
      </c>
      <c r="E63" s="453" t="s">
        <v>414</v>
      </c>
      <c r="F63" s="454" t="s">
        <v>594</v>
      </c>
      <c r="G63" s="454" t="s">
        <v>594</v>
      </c>
      <c r="H63" s="454">
        <v>1012</v>
      </c>
      <c r="I63" s="455">
        <f t="shared" si="0"/>
        <v>1.7240204429301533</v>
      </c>
    </row>
    <row r="64" spans="3:9" x14ac:dyDescent="0.2">
      <c r="C64" s="448" t="s">
        <v>206</v>
      </c>
      <c r="D64" s="449" t="s">
        <v>294</v>
      </c>
      <c r="E64" s="449" t="s">
        <v>425</v>
      </c>
      <c r="F64" s="447" t="s">
        <v>595</v>
      </c>
      <c r="G64" s="447" t="s">
        <v>595</v>
      </c>
      <c r="H64" s="447">
        <v>384</v>
      </c>
      <c r="I64" s="450">
        <f t="shared" si="0"/>
        <v>1.4436090225563909</v>
      </c>
    </row>
    <row r="65" spans="3:9" x14ac:dyDescent="0.2">
      <c r="C65" s="448" t="s">
        <v>206</v>
      </c>
      <c r="D65" s="449" t="s">
        <v>294</v>
      </c>
      <c r="E65" s="449" t="s">
        <v>426</v>
      </c>
      <c r="F65" s="447" t="s">
        <v>596</v>
      </c>
      <c r="G65" s="447" t="s">
        <v>596</v>
      </c>
      <c r="H65" s="447">
        <v>336</v>
      </c>
      <c r="I65" s="450">
        <f t="shared" si="0"/>
        <v>1.3228346456692914</v>
      </c>
    </row>
    <row r="66" spans="3:9" x14ac:dyDescent="0.2">
      <c r="C66" s="448" t="s">
        <v>206</v>
      </c>
      <c r="D66" s="449" t="s">
        <v>294</v>
      </c>
      <c r="E66" s="449" t="s">
        <v>427</v>
      </c>
      <c r="F66" s="447" t="s">
        <v>597</v>
      </c>
      <c r="G66" s="447" t="s">
        <v>597</v>
      </c>
      <c r="H66" s="447">
        <v>398</v>
      </c>
      <c r="I66" s="450">
        <f t="shared" si="0"/>
        <v>1.479553903345725</v>
      </c>
    </row>
    <row r="67" spans="3:9" x14ac:dyDescent="0.2">
      <c r="C67" s="448" t="s">
        <v>206</v>
      </c>
      <c r="D67" s="449" t="s">
        <v>294</v>
      </c>
      <c r="E67" s="449" t="s">
        <v>428</v>
      </c>
      <c r="F67" s="447" t="s">
        <v>598</v>
      </c>
      <c r="G67" s="447" t="s">
        <v>598</v>
      </c>
      <c r="H67" s="447">
        <v>91</v>
      </c>
      <c r="I67" s="450">
        <f t="shared" si="0"/>
        <v>1.9782608695652173</v>
      </c>
    </row>
    <row r="68" spans="3:9" x14ac:dyDescent="0.2">
      <c r="C68" s="448" t="s">
        <v>206</v>
      </c>
      <c r="D68" s="449" t="s">
        <v>294</v>
      </c>
      <c r="E68" s="449" t="s">
        <v>429</v>
      </c>
      <c r="F68" s="447" t="s">
        <v>590</v>
      </c>
      <c r="G68" s="447" t="s">
        <v>590</v>
      </c>
      <c r="H68" s="447">
        <v>86</v>
      </c>
      <c r="I68" s="450">
        <f t="shared" si="0"/>
        <v>1.7916666666666667</v>
      </c>
    </row>
    <row r="69" spans="3:9" x14ac:dyDescent="0.2">
      <c r="C69" s="448" t="s">
        <v>206</v>
      </c>
      <c r="D69" s="449" t="s">
        <v>294</v>
      </c>
      <c r="E69" s="449" t="s">
        <v>430</v>
      </c>
      <c r="F69" s="447" t="s">
        <v>599</v>
      </c>
      <c r="G69" s="447" t="s">
        <v>599</v>
      </c>
      <c r="H69" s="447">
        <v>80</v>
      </c>
      <c r="I69" s="450">
        <f t="shared" si="0"/>
        <v>2.0512820512820511</v>
      </c>
    </row>
    <row r="70" spans="3:9" x14ac:dyDescent="0.2">
      <c r="C70" s="448" t="s">
        <v>206</v>
      </c>
      <c r="D70" s="449" t="s">
        <v>294</v>
      </c>
      <c r="E70" s="449" t="s">
        <v>431</v>
      </c>
      <c r="F70" s="447" t="s">
        <v>599</v>
      </c>
      <c r="G70" s="447" t="s">
        <v>599</v>
      </c>
      <c r="H70" s="447">
        <v>80</v>
      </c>
      <c r="I70" s="450">
        <f t="shared" si="0"/>
        <v>2.0512820512820511</v>
      </c>
    </row>
    <row r="71" spans="3:9" x14ac:dyDescent="0.2">
      <c r="C71" s="448" t="s">
        <v>206</v>
      </c>
      <c r="D71" s="449" t="s">
        <v>294</v>
      </c>
      <c r="E71" s="449" t="s">
        <v>432</v>
      </c>
      <c r="F71" s="447" t="s">
        <v>600</v>
      </c>
      <c r="G71" s="447" t="s">
        <v>600</v>
      </c>
      <c r="H71" s="447">
        <v>128</v>
      </c>
      <c r="I71" s="450">
        <f t="shared" si="0"/>
        <v>1.8028169014084507</v>
      </c>
    </row>
    <row r="72" spans="3:9" x14ac:dyDescent="0.2">
      <c r="C72" s="448" t="s">
        <v>206</v>
      </c>
      <c r="D72" s="449" t="s">
        <v>294</v>
      </c>
      <c r="E72" s="449" t="s">
        <v>433</v>
      </c>
      <c r="F72" s="447" t="s">
        <v>601</v>
      </c>
      <c r="G72" s="447" t="s">
        <v>601</v>
      </c>
      <c r="H72" s="447">
        <v>499</v>
      </c>
      <c r="I72" s="450">
        <f t="shared" si="0"/>
        <v>1.2443890274314215</v>
      </c>
    </row>
    <row r="73" spans="3:9" x14ac:dyDescent="0.2">
      <c r="C73" s="448" t="s">
        <v>206</v>
      </c>
      <c r="D73" s="449" t="s">
        <v>295</v>
      </c>
      <c r="E73" s="449" t="s">
        <v>437</v>
      </c>
      <c r="F73" s="447" t="s">
        <v>602</v>
      </c>
      <c r="G73" s="447" t="s">
        <v>602</v>
      </c>
      <c r="H73" s="447">
        <v>285</v>
      </c>
      <c r="I73" s="450">
        <f t="shared" si="0"/>
        <v>1.4393939393939394</v>
      </c>
    </row>
    <row r="74" spans="3:9" x14ac:dyDescent="0.2">
      <c r="C74" s="448" t="s">
        <v>206</v>
      </c>
      <c r="D74" s="449" t="s">
        <v>295</v>
      </c>
      <c r="E74" s="449" t="s">
        <v>439</v>
      </c>
      <c r="F74" s="447" t="s">
        <v>603</v>
      </c>
      <c r="G74" s="447" t="s">
        <v>603</v>
      </c>
      <c r="H74" s="447">
        <v>634</v>
      </c>
      <c r="I74" s="450">
        <f t="shared" si="0"/>
        <v>1.3208333333333333</v>
      </c>
    </row>
    <row r="75" spans="3:9" x14ac:dyDescent="0.2">
      <c r="C75" s="448" t="s">
        <v>206</v>
      </c>
      <c r="D75" s="449" t="s">
        <v>294</v>
      </c>
      <c r="E75" s="449" t="s">
        <v>434</v>
      </c>
      <c r="F75" s="447" t="s">
        <v>604</v>
      </c>
      <c r="G75" s="447" t="s">
        <v>604</v>
      </c>
      <c r="H75" s="447">
        <v>118</v>
      </c>
      <c r="I75" s="450">
        <f t="shared" ref="I75:I105" si="1">H75/G75</f>
        <v>1.2826086956521738</v>
      </c>
    </row>
    <row r="76" spans="3:9" x14ac:dyDescent="0.2">
      <c r="C76" s="448" t="s">
        <v>206</v>
      </c>
      <c r="D76" s="449" t="s">
        <v>294</v>
      </c>
      <c r="E76" s="449" t="s">
        <v>435</v>
      </c>
      <c r="F76" s="447" t="s">
        <v>546</v>
      </c>
      <c r="G76" s="447" t="s">
        <v>546</v>
      </c>
      <c r="H76" s="447">
        <v>163</v>
      </c>
      <c r="I76" s="450">
        <f t="shared" si="1"/>
        <v>1.9176470588235295</v>
      </c>
    </row>
    <row r="77" spans="3:9" x14ac:dyDescent="0.2">
      <c r="C77" s="448" t="s">
        <v>206</v>
      </c>
      <c r="D77" s="449" t="s">
        <v>294</v>
      </c>
      <c r="E77" s="449" t="s">
        <v>436</v>
      </c>
      <c r="F77" s="447" t="s">
        <v>605</v>
      </c>
      <c r="G77" s="447" t="s">
        <v>605</v>
      </c>
      <c r="H77" s="447">
        <v>91</v>
      </c>
      <c r="I77" s="450">
        <f t="shared" si="1"/>
        <v>1.75</v>
      </c>
    </row>
    <row r="78" spans="3:9" x14ac:dyDescent="0.2">
      <c r="C78" s="452" t="s">
        <v>207</v>
      </c>
      <c r="D78" s="453" t="s">
        <v>294</v>
      </c>
      <c r="E78" s="453" t="s">
        <v>445</v>
      </c>
      <c r="F78" s="454" t="s">
        <v>599</v>
      </c>
      <c r="G78" s="454" t="s">
        <v>599</v>
      </c>
      <c r="H78" s="454">
        <v>47</v>
      </c>
      <c r="I78" s="455">
        <f t="shared" si="1"/>
        <v>1.2051282051282051</v>
      </c>
    </row>
    <row r="79" spans="3:9" x14ac:dyDescent="0.2">
      <c r="C79" s="452" t="s">
        <v>207</v>
      </c>
      <c r="D79" s="453" t="s">
        <v>294</v>
      </c>
      <c r="E79" s="453" t="s">
        <v>447</v>
      </c>
      <c r="F79" s="454" t="s">
        <v>606</v>
      </c>
      <c r="G79" s="454" t="s">
        <v>606</v>
      </c>
      <c r="H79" s="454">
        <v>188</v>
      </c>
      <c r="I79" s="455">
        <f t="shared" si="1"/>
        <v>1.5666666666666667</v>
      </c>
    </row>
    <row r="80" spans="3:9" x14ac:dyDescent="0.2">
      <c r="C80" s="452" t="s">
        <v>207</v>
      </c>
      <c r="D80" s="453" t="s">
        <v>294</v>
      </c>
      <c r="E80" s="453" t="s">
        <v>449</v>
      </c>
      <c r="F80" s="454" t="s">
        <v>599</v>
      </c>
      <c r="G80" s="454" t="s">
        <v>599</v>
      </c>
      <c r="H80" s="454">
        <v>53</v>
      </c>
      <c r="I80" s="455">
        <f t="shared" si="1"/>
        <v>1.358974358974359</v>
      </c>
    </row>
    <row r="81" spans="3:9" x14ac:dyDescent="0.2">
      <c r="C81" s="452" t="s">
        <v>207</v>
      </c>
      <c r="D81" s="453" t="s">
        <v>295</v>
      </c>
      <c r="E81" s="453" t="s">
        <v>455</v>
      </c>
      <c r="F81" s="454" t="s">
        <v>607</v>
      </c>
      <c r="G81" s="454" t="s">
        <v>607</v>
      </c>
      <c r="H81" s="454">
        <v>572</v>
      </c>
      <c r="I81" s="455">
        <f t="shared" si="1"/>
        <v>1.4158415841584158</v>
      </c>
    </row>
    <row r="82" spans="3:9" x14ac:dyDescent="0.2">
      <c r="C82" s="452" t="s">
        <v>207</v>
      </c>
      <c r="D82" s="453" t="s">
        <v>294</v>
      </c>
      <c r="E82" s="453" t="s">
        <v>451</v>
      </c>
      <c r="F82" s="454" t="s">
        <v>608</v>
      </c>
      <c r="G82" s="454" t="s">
        <v>608</v>
      </c>
      <c r="H82" s="454">
        <v>54</v>
      </c>
      <c r="I82" s="455">
        <f t="shared" si="1"/>
        <v>1.3170731707317074</v>
      </c>
    </row>
    <row r="83" spans="3:9" x14ac:dyDescent="0.2">
      <c r="C83" s="452" t="s">
        <v>207</v>
      </c>
      <c r="D83" s="453" t="s">
        <v>294</v>
      </c>
      <c r="E83" s="453" t="s">
        <v>452</v>
      </c>
      <c r="F83" s="454" t="s">
        <v>609</v>
      </c>
      <c r="G83" s="454" t="s">
        <v>609</v>
      </c>
      <c r="H83" s="454">
        <v>390</v>
      </c>
      <c r="I83" s="455">
        <f t="shared" si="1"/>
        <v>1.3780918727915195</v>
      </c>
    </row>
    <row r="84" spans="3:9" x14ac:dyDescent="0.2">
      <c r="C84" s="452" t="s">
        <v>207</v>
      </c>
      <c r="D84" s="453" t="s">
        <v>295</v>
      </c>
      <c r="E84" s="453" t="s">
        <v>456</v>
      </c>
      <c r="F84" s="454" t="s">
        <v>610</v>
      </c>
      <c r="G84" s="454" t="s">
        <v>610</v>
      </c>
      <c r="H84" s="454">
        <v>625</v>
      </c>
      <c r="I84" s="455">
        <f t="shared" si="1"/>
        <v>1.3827433628318584</v>
      </c>
    </row>
    <row r="85" spans="3:9" x14ac:dyDescent="0.2">
      <c r="C85" s="452" t="s">
        <v>207</v>
      </c>
      <c r="D85" s="453" t="s">
        <v>294</v>
      </c>
      <c r="E85" s="453" t="s">
        <v>453</v>
      </c>
      <c r="F85" s="454" t="s">
        <v>600</v>
      </c>
      <c r="G85" s="454" t="s">
        <v>600</v>
      </c>
      <c r="H85" s="454">
        <v>96</v>
      </c>
      <c r="I85" s="455">
        <f t="shared" si="1"/>
        <v>1.352112676056338</v>
      </c>
    </row>
    <row r="86" spans="3:9" x14ac:dyDescent="0.2">
      <c r="C86" s="452" t="s">
        <v>207</v>
      </c>
      <c r="D86" s="453" t="s">
        <v>294</v>
      </c>
      <c r="E86" s="453" t="s">
        <v>207</v>
      </c>
      <c r="F86" s="454" t="s">
        <v>611</v>
      </c>
      <c r="G86" s="454" t="s">
        <v>611</v>
      </c>
      <c r="H86" s="454">
        <v>758</v>
      </c>
      <c r="I86" s="455">
        <f t="shared" si="1"/>
        <v>1.7033707865168539</v>
      </c>
    </row>
    <row r="87" spans="3:9" x14ac:dyDescent="0.2">
      <c r="C87" s="448" t="s">
        <v>208</v>
      </c>
      <c r="D87" s="449" t="s">
        <v>294</v>
      </c>
      <c r="E87" s="449" t="s">
        <v>467</v>
      </c>
      <c r="F87" s="447" t="s">
        <v>556</v>
      </c>
      <c r="G87" s="447" t="s">
        <v>556</v>
      </c>
      <c r="H87" s="447">
        <v>144</v>
      </c>
      <c r="I87" s="450">
        <f t="shared" si="1"/>
        <v>1.3714285714285714</v>
      </c>
    </row>
    <row r="88" spans="3:9" x14ac:dyDescent="0.2">
      <c r="C88" s="448" t="s">
        <v>208</v>
      </c>
      <c r="D88" s="449" t="s">
        <v>295</v>
      </c>
      <c r="E88" s="449" t="s">
        <v>475</v>
      </c>
      <c r="F88" s="447" t="s">
        <v>612</v>
      </c>
      <c r="G88" s="447" t="s">
        <v>612</v>
      </c>
      <c r="H88" s="447">
        <v>524</v>
      </c>
      <c r="I88" s="450">
        <f t="shared" si="1"/>
        <v>1.2596153846153846</v>
      </c>
    </row>
    <row r="89" spans="3:9" x14ac:dyDescent="0.2">
      <c r="C89" s="448" t="s">
        <v>208</v>
      </c>
      <c r="D89" s="449" t="s">
        <v>294</v>
      </c>
      <c r="E89" s="449" t="s">
        <v>468</v>
      </c>
      <c r="F89" s="447" t="s">
        <v>547</v>
      </c>
      <c r="G89" s="447" t="s">
        <v>547</v>
      </c>
      <c r="H89" s="447">
        <v>109</v>
      </c>
      <c r="I89" s="450">
        <f t="shared" si="1"/>
        <v>1.6515151515151516</v>
      </c>
    </row>
    <row r="90" spans="3:9" x14ac:dyDescent="0.2">
      <c r="C90" s="448" t="s">
        <v>208</v>
      </c>
      <c r="D90" s="449" t="s">
        <v>294</v>
      </c>
      <c r="E90" s="449" t="s">
        <v>469</v>
      </c>
      <c r="F90" s="447" t="s">
        <v>547</v>
      </c>
      <c r="G90" s="447" t="s">
        <v>613</v>
      </c>
      <c r="H90" s="447">
        <v>92</v>
      </c>
      <c r="I90" s="450">
        <f t="shared" si="1"/>
        <v>1.4375</v>
      </c>
    </row>
    <row r="91" spans="3:9" x14ac:dyDescent="0.2">
      <c r="C91" s="448" t="s">
        <v>208</v>
      </c>
      <c r="D91" s="449" t="s">
        <v>294</v>
      </c>
      <c r="E91" s="449" t="s">
        <v>470</v>
      </c>
      <c r="F91" s="447" t="s">
        <v>614</v>
      </c>
      <c r="G91" s="447" t="s">
        <v>614</v>
      </c>
      <c r="H91" s="447">
        <v>55</v>
      </c>
      <c r="I91" s="450">
        <f t="shared" si="1"/>
        <v>1.2222222222222223</v>
      </c>
    </row>
    <row r="92" spans="3:9" x14ac:dyDescent="0.2">
      <c r="C92" s="448" t="s">
        <v>208</v>
      </c>
      <c r="D92" s="449" t="s">
        <v>294</v>
      </c>
      <c r="E92" s="449" t="s">
        <v>471</v>
      </c>
      <c r="F92" s="447" t="s">
        <v>615</v>
      </c>
      <c r="G92" s="447" t="s">
        <v>615</v>
      </c>
      <c r="H92" s="447">
        <v>184</v>
      </c>
      <c r="I92" s="450">
        <f t="shared" si="1"/>
        <v>1.2777777777777777</v>
      </c>
    </row>
    <row r="93" spans="3:9" x14ac:dyDescent="0.2">
      <c r="C93" s="448" t="s">
        <v>208</v>
      </c>
      <c r="D93" s="449" t="s">
        <v>294</v>
      </c>
      <c r="E93" s="449" t="s">
        <v>472</v>
      </c>
      <c r="F93" s="447" t="s">
        <v>616</v>
      </c>
      <c r="G93" s="447" t="s">
        <v>616</v>
      </c>
      <c r="H93" s="447">
        <v>414</v>
      </c>
      <c r="I93" s="450">
        <f t="shared" si="1"/>
        <v>2.15625</v>
      </c>
    </row>
    <row r="94" spans="3:9" x14ac:dyDescent="0.2">
      <c r="C94" s="448" t="s">
        <v>208</v>
      </c>
      <c r="D94" s="449" t="s">
        <v>295</v>
      </c>
      <c r="E94" s="449" t="s">
        <v>476</v>
      </c>
      <c r="F94" s="447" t="s">
        <v>617</v>
      </c>
      <c r="G94" s="447" t="s">
        <v>617</v>
      </c>
      <c r="H94" s="447">
        <v>350</v>
      </c>
      <c r="I94" s="450">
        <f t="shared" si="1"/>
        <v>1.7156862745098038</v>
      </c>
    </row>
    <row r="95" spans="3:9" x14ac:dyDescent="0.2">
      <c r="C95" s="448" t="s">
        <v>208</v>
      </c>
      <c r="D95" s="449" t="s">
        <v>294</v>
      </c>
      <c r="E95" s="449" t="s">
        <v>474</v>
      </c>
      <c r="F95" s="447" t="s">
        <v>618</v>
      </c>
      <c r="G95" s="447" t="s">
        <v>618</v>
      </c>
      <c r="H95" s="447">
        <v>110</v>
      </c>
      <c r="I95" s="450">
        <f t="shared" si="1"/>
        <v>1.5942028985507246</v>
      </c>
    </row>
    <row r="96" spans="3:9" x14ac:dyDescent="0.2">
      <c r="C96" s="448" t="s">
        <v>208</v>
      </c>
      <c r="D96" s="449" t="s">
        <v>295</v>
      </c>
      <c r="E96" s="449" t="s">
        <v>477</v>
      </c>
      <c r="F96" s="447" t="s">
        <v>619</v>
      </c>
      <c r="G96" s="447" t="s">
        <v>619</v>
      </c>
      <c r="H96" s="447">
        <v>926</v>
      </c>
      <c r="I96" s="450">
        <f t="shared" si="1"/>
        <v>1.422427035330261</v>
      </c>
    </row>
    <row r="97" spans="3:9" x14ac:dyDescent="0.2">
      <c r="C97" s="448" t="s">
        <v>208</v>
      </c>
      <c r="D97" s="449" t="s">
        <v>295</v>
      </c>
      <c r="E97" s="449" t="s">
        <v>478</v>
      </c>
      <c r="F97" s="447" t="s">
        <v>620</v>
      </c>
      <c r="G97" s="447" t="s">
        <v>620</v>
      </c>
      <c r="H97" s="447">
        <v>790</v>
      </c>
      <c r="I97" s="450">
        <f t="shared" si="1"/>
        <v>1.3322091062394603</v>
      </c>
    </row>
    <row r="98" spans="3:9" x14ac:dyDescent="0.2">
      <c r="C98" s="452" t="s">
        <v>621</v>
      </c>
      <c r="D98" s="453" t="s">
        <v>295</v>
      </c>
      <c r="E98" s="453" t="s">
        <v>484</v>
      </c>
      <c r="F98" s="454" t="s">
        <v>595</v>
      </c>
      <c r="G98" s="454" t="s">
        <v>595</v>
      </c>
      <c r="H98" s="454">
        <v>464</v>
      </c>
      <c r="I98" s="455">
        <f t="shared" si="1"/>
        <v>1.744360902255639</v>
      </c>
    </row>
    <row r="99" spans="3:9" x14ac:dyDescent="0.2">
      <c r="C99" s="452" t="s">
        <v>621</v>
      </c>
      <c r="D99" s="453" t="s">
        <v>294</v>
      </c>
      <c r="E99" s="453" t="s">
        <v>483</v>
      </c>
      <c r="F99" s="454" t="s">
        <v>622</v>
      </c>
      <c r="G99" s="454" t="s">
        <v>622</v>
      </c>
      <c r="H99" s="454">
        <v>184</v>
      </c>
      <c r="I99" s="455">
        <f t="shared" si="1"/>
        <v>1.4153846153846155</v>
      </c>
    </row>
    <row r="100" spans="3:9" x14ac:dyDescent="0.2">
      <c r="C100" s="452" t="s">
        <v>621</v>
      </c>
      <c r="D100" s="453" t="s">
        <v>298</v>
      </c>
      <c r="E100" s="453" t="s">
        <v>485</v>
      </c>
      <c r="F100" s="454" t="s">
        <v>623</v>
      </c>
      <c r="G100" s="454" t="s">
        <v>623</v>
      </c>
      <c r="H100" s="454">
        <v>443</v>
      </c>
      <c r="I100" s="455">
        <f t="shared" si="1"/>
        <v>1.2374301675977655</v>
      </c>
    </row>
    <row r="101" spans="3:9" x14ac:dyDescent="0.2">
      <c r="C101" s="452" t="s">
        <v>621</v>
      </c>
      <c r="D101" s="453" t="s">
        <v>295</v>
      </c>
      <c r="E101" s="453" t="s">
        <v>485</v>
      </c>
      <c r="F101" s="454" t="s">
        <v>624</v>
      </c>
      <c r="G101" s="454" t="s">
        <v>624</v>
      </c>
      <c r="H101" s="454">
        <v>453</v>
      </c>
      <c r="I101" s="455">
        <f t="shared" si="1"/>
        <v>2.1469194312796209</v>
      </c>
    </row>
    <row r="102" spans="3:9" x14ac:dyDescent="0.2">
      <c r="C102" s="452" t="s">
        <v>621</v>
      </c>
      <c r="D102" s="453" t="s">
        <v>298</v>
      </c>
      <c r="E102" s="453" t="s">
        <v>494</v>
      </c>
      <c r="F102" s="454" t="s">
        <v>625</v>
      </c>
      <c r="G102" s="454" t="s">
        <v>625</v>
      </c>
      <c r="H102" s="454">
        <v>235</v>
      </c>
      <c r="I102" s="455">
        <f t="shared" si="1"/>
        <v>2.1171171171171173</v>
      </c>
    </row>
    <row r="103" spans="3:9" x14ac:dyDescent="0.2">
      <c r="C103" s="452" t="s">
        <v>621</v>
      </c>
      <c r="D103" s="453" t="s">
        <v>295</v>
      </c>
      <c r="E103" s="453" t="s">
        <v>494</v>
      </c>
      <c r="F103" s="454" t="s">
        <v>626</v>
      </c>
      <c r="G103" s="454" t="s">
        <v>626</v>
      </c>
      <c r="H103" s="454">
        <v>162</v>
      </c>
      <c r="I103" s="455">
        <f t="shared" si="1"/>
        <v>3</v>
      </c>
    </row>
    <row r="104" spans="3:9" x14ac:dyDescent="0.2">
      <c r="C104" s="452" t="s">
        <v>621</v>
      </c>
      <c r="D104" s="453" t="s">
        <v>295</v>
      </c>
      <c r="E104" s="453" t="s">
        <v>486</v>
      </c>
      <c r="F104" s="454" t="s">
        <v>627</v>
      </c>
      <c r="G104" s="454" t="s">
        <v>627</v>
      </c>
      <c r="H104" s="454">
        <v>409</v>
      </c>
      <c r="I104" s="455">
        <f t="shared" si="1"/>
        <v>1.3193548387096774</v>
      </c>
    </row>
    <row r="105" spans="3:9" x14ac:dyDescent="0.2">
      <c r="C105" s="452" t="s">
        <v>621</v>
      </c>
      <c r="D105" s="453" t="s">
        <v>298</v>
      </c>
      <c r="E105" s="453" t="s">
        <v>495</v>
      </c>
      <c r="F105" s="454" t="s">
        <v>628</v>
      </c>
      <c r="G105" s="454" t="s">
        <v>628</v>
      </c>
      <c r="H105" s="454">
        <v>241</v>
      </c>
      <c r="I105" s="455">
        <f t="shared" si="1"/>
        <v>1.2233502538071066</v>
      </c>
    </row>
    <row r="106" spans="3:9" x14ac:dyDescent="0.2">
      <c r="C106" s="456" t="s">
        <v>630</v>
      </c>
      <c r="D106" s="457"/>
      <c r="E106" s="457"/>
      <c r="F106" s="457"/>
      <c r="G106" s="457"/>
      <c r="H106" s="457"/>
      <c r="I106" s="457"/>
    </row>
    <row r="107" spans="3:9" x14ac:dyDescent="0.2">
      <c r="C107" s="458" t="s">
        <v>278</v>
      </c>
    </row>
  </sheetData>
  <pageMargins left="0.39370078740157483" right="0.39370078740157483" top="0.78740157480314965" bottom="0.59055118110236227" header="0.51181102362204722" footer="0.51181102362204722"/>
  <pageSetup paperSize="9" scale="52" orientation="portrait" r:id="rId1"/>
  <headerFooter alignWithMargins="0">
    <oddFooter>&amp;LStatistiques mensuelles&amp;Rpage 44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44</vt:i4>
      </vt:variant>
      <vt:variant>
        <vt:lpstr>Plages nommées</vt:lpstr>
      </vt:variant>
      <vt:variant>
        <vt:i4>30</vt:i4>
      </vt:variant>
    </vt:vector>
  </HeadingPairs>
  <TitlesOfParts>
    <vt:vector size="74" baseType="lpstr">
      <vt:lpstr>couverture</vt:lpstr>
      <vt:lpstr>sommaire</vt:lpstr>
      <vt:lpstr>Les chiffres du mois</vt:lpstr>
      <vt:lpstr>sommaire suite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tab26 DRsexe</vt:lpstr>
      <vt:lpstr>tab27 mineurs</vt:lpstr>
      <vt:lpstr>tab28 mineurs.cat.pén</vt:lpstr>
      <vt:lpstr>tab29mineurs.évol</vt:lpstr>
      <vt:lpstr>tab30 courbe</vt:lpstr>
      <vt:lpstr>tab31 mineurs.étab</vt:lpstr>
      <vt:lpstr>tab32 mineurs.étab2</vt:lpstr>
      <vt:lpstr>tab33femmes</vt:lpstr>
      <vt:lpstr>tab34femcapén</vt:lpstr>
      <vt:lpstr>tab35évolfem</vt:lpstr>
      <vt:lpstr>tab36courbévolfem</vt:lpstr>
      <vt:lpstr>tab37AmPeine</vt:lpstr>
      <vt:lpstr>tab38courbe-AmPeine</vt:lpstr>
      <vt:lpstr>tab39heb-nheb_catpen</vt:lpstr>
      <vt:lpstr>tab40densité.120</vt:lpstr>
      <vt:lpstr>tab40densité.120!Impression_des_titres</vt:lpstr>
      <vt:lpstr>couverture!Zone_d_impression</vt:lpstr>
      <vt:lpstr>'Les chiffres du mois'!Zone_d_impression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tab2évol!Zone_d_impression</vt:lpstr>
      <vt:lpstr>'tab3 courbeA'!Zone_d_impression</vt:lpstr>
      <vt:lpstr>'tab3 courbeB'!Zone_d_impression</vt:lpstr>
      <vt:lpstr>'tab3 courbeC'!Zone_d_impression</vt:lpstr>
      <vt:lpstr>'tab30 courbe'!Zone_d_impression</vt:lpstr>
      <vt:lpstr>'tab31 mineurs.étab'!Zone_d_impression</vt:lpstr>
      <vt:lpstr>'tab32 mineurs.étab2'!Zone_d_impression</vt:lpstr>
      <vt:lpstr>tab37AmPeine!Zone_d_impression</vt:lpstr>
      <vt:lpstr>'tab38courbe-AmPeine'!Zone_d_impression</vt:lpstr>
      <vt:lpstr>tab40densité.120!Zone_d_impression</vt:lpstr>
      <vt:lpstr>tab4évolnheb!Zone_d_impression</vt:lpstr>
      <vt:lpstr>'tab5 courbévol'!Zone_d_impression</vt:lpstr>
      <vt:lpstr>'tab6 densité'!Zone_d_impression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AFFA Moise</cp:lastModifiedBy>
  <cp:lastPrinted>2014-07-08T07:54:36Z</cp:lastPrinted>
  <dcterms:created xsi:type="dcterms:W3CDTF">2011-01-25T13:42:51Z</dcterms:created>
  <dcterms:modified xsi:type="dcterms:W3CDTF">2014-08-19T12:40:35Z</dcterms:modified>
</cp:coreProperties>
</file>